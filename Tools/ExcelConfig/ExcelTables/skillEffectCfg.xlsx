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Volumes/OneTb/GameP/Tools/ExcelConfig/ExcelTables/"/>
    </mc:Choice>
  </mc:AlternateContent>
  <xr:revisionPtr revIDLastSave="0" documentId="13_ncr:1_{55C75B37-9430-CC4A-B3C1-2977961DFB3D}" xr6:coauthVersionLast="47" xr6:coauthVersionMax="47" xr10:uidLastSave="{00000000-0000-0000-0000-000000000000}"/>
  <bookViews>
    <workbookView xWindow="8780" yWindow="4080" windowWidth="29040" windowHeight="17520" activeTab="1" xr2:uid="{00000000-000D-0000-FFFF-FFFF00000000}"/>
  </bookViews>
  <sheets>
    <sheet name="Sheet1" sheetId="1" r:id="rId1"/>
    <sheet name="EffectType" sheetId="4" r:id="rId2"/>
    <sheet name="Config" sheetId="10" r:id="rId3"/>
  </sheets>
  <definedNames>
    <definedName name="ExternalData_1" localSheetId="1" hidden="1">EffectType!$A$1:$A$7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 a="1"/>
  <c r="B2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BF2B20-0774-1649-993B-F02C1B481819}" keepAlive="1" name="查询 - Sheet1" description="与工作簿中“Sheet1”查询的连接。" type="5" refreshedVersion="8" background="1" saveData="1">
    <dbPr connection="Provider=Microsoft.Mashup.OleDb.1;Data Source=$Workbook$;Location=Sheet1;Extended Properties=&quot;&quot;" command="SELECT * FROM [Sheet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<sst xmlns="http://schemas.openxmlformats.org/spreadsheetml/2006/main" count="98" uniqueCount="80">
  <si>
    <t>##var</t>
  </si>
  <si>
    <t>##</t>
  </si>
  <si>
    <t>id</t>
  </si>
  <si>
    <t>##type</t>
  </si>
  <si>
    <t>int</t>
  </si>
  <si>
    <t>string</t>
  </si>
  <si>
    <t>##group</t>
  </si>
  <si>
    <t>描述</t>
  </si>
  <si>
    <t>alias</t>
    <phoneticPr fontId="2" type="noConversion"/>
  </si>
  <si>
    <t>desc</t>
    <phoneticPr fontId="2" type="noConversion"/>
  </si>
  <si>
    <t>effectType</t>
    <phoneticPr fontId="2" type="noConversion"/>
  </si>
  <si>
    <t>EffectType</t>
  </si>
  <si>
    <t>EffectType</t>
    <phoneticPr fontId="2" type="noConversion"/>
  </si>
  <si>
    <t>类型</t>
    <phoneticPr fontId="2" type="noConversion"/>
  </si>
  <si>
    <t>Parameters</t>
    <phoneticPr fontId="2" type="noConversion"/>
  </si>
  <si>
    <t>list,int</t>
    <phoneticPr fontId="2" type="noConversion"/>
  </si>
  <si>
    <t>参数</t>
    <phoneticPr fontId="2" type="noConversion"/>
  </si>
  <si>
    <t>别名</t>
    <phoneticPr fontId="2" type="noConversion"/>
  </si>
  <si>
    <t>Lock</t>
  </si>
  <si>
    <t>StandardDamage</t>
  </si>
  <si>
    <t>Push</t>
  </si>
  <si>
    <t>Pull</t>
  </si>
  <si>
    <t>Caught</t>
  </si>
  <si>
    <t>动量</t>
    <phoneticPr fontId="2" type="noConversion"/>
  </si>
  <si>
    <t>终点x</t>
    <phoneticPr fontId="2" type="noConversion"/>
  </si>
  <si>
    <t>时间点2</t>
  </si>
  <si>
    <t>时间点3</t>
  </si>
  <si>
    <t>属性类型1</t>
    <phoneticPr fontId="2" type="noConversion"/>
  </si>
  <si>
    <t>属性倍率1</t>
    <phoneticPr fontId="2" type="noConversion"/>
  </si>
  <si>
    <t>输入Cache时间（毫秒）</t>
    <phoneticPr fontId="2" type="noConversion"/>
  </si>
  <si>
    <t>standardLock</t>
    <phoneticPr fontId="2" type="noConversion"/>
  </si>
  <si>
    <t>标准近战锁定</t>
    <phoneticPr fontId="2" type="noConversion"/>
  </si>
  <si>
    <t>说明</t>
    <phoneticPr fontId="2" type="noConversion"/>
  </si>
  <si>
    <t>standardLDmg</t>
    <phoneticPr fontId="2" type="noConversion"/>
  </si>
  <si>
    <t>standardMDmg</t>
    <phoneticPr fontId="2" type="noConversion"/>
  </si>
  <si>
    <t>标准伤害L</t>
    <phoneticPr fontId="2" type="noConversion"/>
  </si>
  <si>
    <t>标准伤害M</t>
    <phoneticPr fontId="2" type="noConversion"/>
  </si>
  <si>
    <t>标准伤害H</t>
    <phoneticPr fontId="2" type="noConversion"/>
  </si>
  <si>
    <t>standardHDmg</t>
    <phoneticPr fontId="2" type="noConversion"/>
  </si>
  <si>
    <t>standardLPush</t>
    <phoneticPr fontId="2" type="noConversion"/>
  </si>
  <si>
    <t>standardMPush</t>
    <phoneticPr fontId="2" type="noConversion"/>
  </si>
  <si>
    <t>standardHPush</t>
    <phoneticPr fontId="2" type="noConversion"/>
  </si>
  <si>
    <t>标准击退L</t>
    <phoneticPr fontId="2" type="noConversion"/>
  </si>
  <si>
    <t>标准击退M</t>
    <phoneticPr fontId="2" type="noConversion"/>
  </si>
  <si>
    <t>标准击退H</t>
    <phoneticPr fontId="2" type="noConversion"/>
  </si>
  <si>
    <t>ComboLPush</t>
    <phoneticPr fontId="2" type="noConversion"/>
  </si>
  <si>
    <t>ComboMPush</t>
    <phoneticPr fontId="2" type="noConversion"/>
  </si>
  <si>
    <t>ComboHPush</t>
    <phoneticPr fontId="2" type="noConversion"/>
  </si>
  <si>
    <t>ComboL</t>
    <phoneticPr fontId="2" type="noConversion"/>
  </si>
  <si>
    <t>ComboM</t>
    <phoneticPr fontId="2" type="noConversion"/>
  </si>
  <si>
    <t>ComboH</t>
    <phoneticPr fontId="2" type="noConversion"/>
  </si>
  <si>
    <t>时间点0</t>
    <phoneticPr fontId="2" type="noConversion"/>
  </si>
  <si>
    <t>时间点1</t>
  </si>
  <si>
    <t>带有的followMediaId</t>
    <phoneticPr fontId="2" type="noConversion"/>
  </si>
  <si>
    <t>终点z</t>
    <phoneticPr fontId="2" type="noConversion"/>
  </si>
  <si>
    <t>0带有的followMediaId</t>
    <phoneticPr fontId="2" type="noConversion"/>
  </si>
  <si>
    <t>1带有的followMediaId</t>
  </si>
  <si>
    <t>2带有的followMediaId</t>
  </si>
  <si>
    <t>抓取触发技能Id</t>
    <phoneticPr fontId="2" type="noConversion"/>
  </si>
  <si>
    <t>3带有的followMediaId</t>
  </si>
  <si>
    <t>动点0zInt</t>
    <phoneticPr fontId="2" type="noConversion"/>
  </si>
  <si>
    <t>动点0xInt</t>
    <phoneticPr fontId="2" type="noConversion"/>
  </si>
  <si>
    <t>动点0yInt</t>
    <phoneticPr fontId="2" type="noConversion"/>
  </si>
  <si>
    <t>动点1zInt</t>
  </si>
  <si>
    <t>动点1xInt</t>
  </si>
  <si>
    <t>动点1yInt</t>
  </si>
  <si>
    <t>动点2zInt</t>
  </si>
  <si>
    <t>动点2xInt</t>
  </si>
  <si>
    <t>动点2yInt</t>
  </si>
  <si>
    <t>动点3zInt</t>
  </si>
  <si>
    <t>动点3xInt</t>
  </si>
  <si>
    <t>动点3yInt</t>
  </si>
  <si>
    <t>EnumPath</t>
  </si>
  <si>
    <t>参数名</t>
  </si>
  <si>
    <t>参数值</t>
  </si>
  <si>
    <t>Undefine</t>
  </si>
  <si>
    <t>持续时间（只在对手break时有效</t>
    <phoneticPr fontId="2" type="noConversion"/>
  </si>
  <si>
    <t>最大额外跟踪距离forward</t>
    <phoneticPr fontId="2" type="noConversion"/>
  </si>
  <si>
    <t>最大跟踪距离side</t>
    <phoneticPr fontId="2" type="noConversion"/>
  </si>
  <si>
    <t>0:不改角色方向，1改角色方向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</si>
</sst>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78BF05-676B-014F-A28C-7D5351EF0F9B}" autoFormatId="16" applyNumberFormats="0" applyBorderFormats="0" applyFontFormats="0" applyPatternFormats="0" applyAlignmentFormats="0" applyWidthHeightFormats="0">
  <queryTableRefresh nextId="31">
    <queryTableFields count="1">
      <queryTableField id="30" name="EffectTyp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0BD9A-DE58-B84F-AEED-5AF37791C432}" name="Sheet1" displayName="Sheet1" ref="A1:A7" tableType="queryTable" totalsRowShown="0">
  <autoFilter ref="A1:A7" xr:uid="{4ED0BD9A-DE58-B84F-AEED-5AF37791C432}"/>
  <tableColumns count="1">
    <tableColumn id="2" xr3:uid="{BE343402-1F6D-4E7E-904F-7DCFD4CAA3EC}" uniqueName="2" name="EffectType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952F8C-32DC-4F53-861D-06C240E5EA86}" name="ConfigTable" displayName="ConfigTable" ref="A1:B2" totalsRowShown="0">
  <autoFilter ref="A1:B2" xr:uid="{E4952F8C-32DC-4F53-861D-06C240E5EA86}"/>
  <tableColumns count="2">
    <tableColumn id="1" xr3:uid="{B2A2C066-A6F5-432B-8B8F-0AA3655D77C7}" name="参数名"/>
    <tableColumn id="2" xr3:uid="{06A18487-10AE-4680-9E5E-6E81FE90910F}" name="参数值">
      <calculatedColumnFormula array="1">LEFT(CELL("filename",$A$1),FIND("[",CELL("filename",$A$1))-1)&amp;"__enums__.xlsx"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"/>
  <sheetViews>
    <sheetView workbookViewId="0">
      <selection activeCell="E31" sqref="E31"/>
    </sheetView>
  </sheetViews>
  <sheetFormatPr baseColWidth="10" defaultColWidth="9" defaultRowHeight="15"/>
  <cols>
    <col min="2" max="2" width="10.1640625" customWidth="1"/>
    <col min="3" max="3" width="15.83203125" customWidth="1"/>
    <col min="4" max="4" width="12.6640625" customWidth="1"/>
    <col min="5" max="5" width="17.5" customWidth="1"/>
    <col min="6" max="6" width="11" bestFit="1" customWidth="1"/>
    <col min="7" max="8" width="8.33203125" customWidth="1"/>
    <col min="9" max="18" width="10.1640625" customWidth="1"/>
  </cols>
  <sheetData>
    <row r="1" spans="1:27" s="1" customFormat="1">
      <c r="A1" t="s">
        <v>0</v>
      </c>
      <c r="B1" t="s">
        <v>2</v>
      </c>
      <c r="C1" s="2" t="s">
        <v>8</v>
      </c>
      <c r="D1" s="2" t="s">
        <v>9</v>
      </c>
      <c r="E1" s="2" t="s">
        <v>10</v>
      </c>
      <c r="F1" s="1" t="s">
        <v>14</v>
      </c>
    </row>
    <row r="2" spans="1:27" s="1" customFormat="1">
      <c r="A2" t="s">
        <v>3</v>
      </c>
      <c r="B2" t="s">
        <v>4</v>
      </c>
      <c r="C2" t="s">
        <v>5</v>
      </c>
      <c r="D2" t="s">
        <v>5</v>
      </c>
      <c r="E2" s="2" t="s">
        <v>12</v>
      </c>
      <c r="F2" s="1" t="s">
        <v>15</v>
      </c>
    </row>
    <row r="3" spans="1:27" s="1" customFormat="1">
      <c r="A3" t="s">
        <v>0</v>
      </c>
      <c r="B3"/>
      <c r="C3"/>
      <c r="D3"/>
      <c r="E3" s="2"/>
      <c r="F3" s="1">
        <v>0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6</v>
      </c>
      <c r="M3" s="1">
        <v>7</v>
      </c>
      <c r="N3" s="1">
        <v>8</v>
      </c>
      <c r="O3" s="1">
        <v>9</v>
      </c>
      <c r="P3" s="1">
        <v>10</v>
      </c>
      <c r="Q3" s="1">
        <v>11</v>
      </c>
      <c r="R3" s="1">
        <v>12</v>
      </c>
      <c r="S3" s="1">
        <v>13</v>
      </c>
      <c r="T3" s="1">
        <v>14</v>
      </c>
      <c r="U3" s="1">
        <v>15</v>
      </c>
      <c r="V3" s="1">
        <v>16</v>
      </c>
      <c r="W3" s="1">
        <v>17</v>
      </c>
      <c r="X3" s="1">
        <v>18</v>
      </c>
      <c r="Y3" s="1">
        <v>19</v>
      </c>
      <c r="Z3" s="1">
        <v>20</v>
      </c>
      <c r="AA3" s="1">
        <v>21</v>
      </c>
    </row>
    <row r="4" spans="1:27" s="1" customFormat="1">
      <c r="A4" t="s">
        <v>6</v>
      </c>
      <c r="B4"/>
      <c r="C4"/>
      <c r="D4"/>
      <c r="E4"/>
    </row>
    <row r="5" spans="1:27">
      <c r="A5" t="s">
        <v>1</v>
      </c>
      <c r="B5" t="s">
        <v>2</v>
      </c>
      <c r="C5" s="2" t="s">
        <v>17</v>
      </c>
      <c r="D5" t="s">
        <v>7</v>
      </c>
      <c r="E5" s="2" t="s">
        <v>13</v>
      </c>
      <c r="F5" s="2" t="s">
        <v>16</v>
      </c>
    </row>
    <row r="6" spans="1:27">
      <c r="B6">
        <v>1</v>
      </c>
      <c r="C6" s="2" t="s">
        <v>30</v>
      </c>
      <c r="D6" s="2" t="s">
        <v>31</v>
      </c>
      <c r="E6" t="s">
        <v>18</v>
      </c>
      <c r="F6">
        <v>5000</v>
      </c>
      <c r="G6">
        <v>3000</v>
      </c>
    </row>
    <row r="7" spans="1:27">
      <c r="B7">
        <v>2</v>
      </c>
      <c r="C7" s="2" t="s">
        <v>33</v>
      </c>
      <c r="D7" s="2" t="s">
        <v>35</v>
      </c>
      <c r="E7" t="s">
        <v>19</v>
      </c>
      <c r="G7">
        <v>7500</v>
      </c>
    </row>
    <row r="8" spans="1:27">
      <c r="B8">
        <v>3</v>
      </c>
      <c r="C8" s="2" t="s">
        <v>34</v>
      </c>
      <c r="D8" s="2" t="s">
        <v>36</v>
      </c>
      <c r="E8" t="s">
        <v>19</v>
      </c>
      <c r="G8">
        <v>10000</v>
      </c>
    </row>
    <row r="9" spans="1:27">
      <c r="B9">
        <v>4</v>
      </c>
      <c r="C9" s="2" t="s">
        <v>38</v>
      </c>
      <c r="D9" s="2" t="s">
        <v>37</v>
      </c>
      <c r="E9" t="s">
        <v>19</v>
      </c>
      <c r="G9">
        <v>10000</v>
      </c>
    </row>
    <row r="10" spans="1:27">
      <c r="B10">
        <v>5</v>
      </c>
      <c r="C10" s="2" t="s">
        <v>39</v>
      </c>
      <c r="D10" s="2" t="s">
        <v>42</v>
      </c>
      <c r="E10" t="s">
        <v>20</v>
      </c>
      <c r="F10">
        <v>1000</v>
      </c>
      <c r="G10">
        <v>200</v>
      </c>
      <c r="H10">
        <v>120000</v>
      </c>
    </row>
    <row r="11" spans="1:27">
      <c r="B11">
        <v>6</v>
      </c>
      <c r="C11" s="2" t="s">
        <v>40</v>
      </c>
      <c r="D11" s="2" t="s">
        <v>43</v>
      </c>
      <c r="E11" t="s">
        <v>20</v>
      </c>
      <c r="F11">
        <v>1000</v>
      </c>
      <c r="G11">
        <v>200</v>
      </c>
      <c r="H11">
        <v>200000</v>
      </c>
    </row>
    <row r="12" spans="1:27">
      <c r="B12">
        <v>7</v>
      </c>
      <c r="C12" s="2" t="s">
        <v>41</v>
      </c>
      <c r="D12" s="2" t="s">
        <v>44</v>
      </c>
      <c r="E12" t="s">
        <v>20</v>
      </c>
      <c r="F12">
        <v>1000</v>
      </c>
      <c r="G12">
        <v>200</v>
      </c>
      <c r="H12">
        <v>400000</v>
      </c>
    </row>
    <row r="13" spans="1:27">
      <c r="B13">
        <v>8</v>
      </c>
      <c r="C13" s="2" t="s">
        <v>45</v>
      </c>
      <c r="D13" s="2" t="s">
        <v>48</v>
      </c>
      <c r="E13" t="s">
        <v>20</v>
      </c>
      <c r="F13">
        <v>1000</v>
      </c>
      <c r="G13">
        <v>200</v>
      </c>
      <c r="H13">
        <v>120000</v>
      </c>
    </row>
    <row r="14" spans="1:27">
      <c r="B14">
        <v>9</v>
      </c>
      <c r="C14" s="2" t="s">
        <v>46</v>
      </c>
      <c r="D14" s="2" t="s">
        <v>49</v>
      </c>
      <c r="E14" t="s">
        <v>20</v>
      </c>
      <c r="F14">
        <v>1200</v>
      </c>
      <c r="G14">
        <v>200</v>
      </c>
      <c r="H14">
        <v>200000</v>
      </c>
    </row>
    <row r="15" spans="1:27">
      <c r="B15">
        <v>10</v>
      </c>
      <c r="C15" s="2" t="s">
        <v>47</v>
      </c>
      <c r="D15" s="2" t="s">
        <v>50</v>
      </c>
      <c r="E15" t="s">
        <v>20</v>
      </c>
      <c r="F15">
        <v>1400</v>
      </c>
      <c r="G15">
        <v>200</v>
      </c>
      <c r="H15">
        <v>400000</v>
      </c>
    </row>
  </sheetData>
  <phoneticPr fontId="2" type="noConversion"/>
  <dataValidations count="1">
    <dataValidation type="list" allowBlank="1" showInputMessage="1" showErrorMessage="1" sqref="E6:E27" xr:uid="{F736C139-0FF0-3547-9842-F4CD49023A35}">
      <formula1>#REF!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2C7CE1-C305-4962-988F-86E42C7FD77A}">
          <x14:formula1>
            <xm:f>EffectType!$A:$A</xm:f>
          </x14:formula1>
          <xm:sqref>C6:C21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7B9C-7E5A-674A-9D98-D22C72AA8EEE}">
  <dimension ref="A1:Y7"/>
  <sheetViews>
    <sheetView tabSelected="1" workbookViewId="0">
      <selection activeCell="E8" sqref="E8"/>
    </sheetView>
  </sheetViews>
  <sheetFormatPr baseColWidth="10" defaultColWidth="11" defaultRowHeight="15"/>
  <cols>
    <col min="1" max="2" width="15.5" bestFit="1" customWidth="1"/>
    <col min="3" max="3" width="29" customWidth="1"/>
    <col min="4" max="4" width="21" customWidth="1"/>
    <col min="5" max="5" width="14.1640625" bestFit="1" customWidth="1"/>
    <col min="6" max="6" width="8.1640625" bestFit="1" customWidth="1"/>
    <col min="7" max="7" width="10.83203125" bestFit="1" customWidth="1"/>
    <col min="8" max="8" width="6.33203125" bestFit="1" customWidth="1"/>
    <col min="9" max="9" width="15.5" bestFit="1" customWidth="1"/>
    <col min="10" max="10" width="10.5" bestFit="1" customWidth="1"/>
    <col min="11" max="11" width="14.33203125" bestFit="1" customWidth="1"/>
    <col min="12" max="13" width="11.5" bestFit="1" customWidth="1"/>
    <col min="14" max="16" width="12" bestFit="1" customWidth="1"/>
    <col min="17" max="17" width="16.33203125" bestFit="1" customWidth="1"/>
    <col min="18" max="18" width="12" bestFit="1" customWidth="1"/>
    <col min="19" max="19" width="15.33203125" bestFit="1" customWidth="1"/>
    <col min="20" max="21" width="13" bestFit="1" customWidth="1"/>
  </cols>
  <sheetData>
    <row r="1" spans="1:25">
      <c r="A1" t="s">
        <v>11</v>
      </c>
      <c r="B1" s="2" t="s">
        <v>32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</row>
    <row r="2" spans="1:25">
      <c r="A2" t="s">
        <v>75</v>
      </c>
      <c r="B2" s="2"/>
    </row>
    <row r="3" spans="1:25">
      <c r="A3" t="s">
        <v>19</v>
      </c>
      <c r="C3" s="2" t="s">
        <v>27</v>
      </c>
      <c r="D3" s="2" t="s">
        <v>28</v>
      </c>
    </row>
    <row r="4" spans="1:25">
      <c r="A4" t="s">
        <v>20</v>
      </c>
      <c r="C4" s="2" t="s">
        <v>76</v>
      </c>
      <c r="D4" s="2" t="s">
        <v>29</v>
      </c>
      <c r="E4" s="2" t="s">
        <v>23</v>
      </c>
      <c r="F4" s="2" t="s">
        <v>53</v>
      </c>
    </row>
    <row r="5" spans="1:25">
      <c r="A5" t="s">
        <v>21</v>
      </c>
      <c r="C5" s="2" t="s">
        <v>76</v>
      </c>
      <c r="D5" s="2" t="s">
        <v>29</v>
      </c>
      <c r="E5" s="2" t="s">
        <v>54</v>
      </c>
      <c r="F5" s="2" t="s">
        <v>24</v>
      </c>
      <c r="G5" s="2" t="s">
        <v>53</v>
      </c>
      <c r="H5" s="2"/>
    </row>
    <row r="6" spans="1:25">
      <c r="A6" t="s">
        <v>22</v>
      </c>
      <c r="C6" s="2" t="s">
        <v>76</v>
      </c>
      <c r="D6" s="2" t="s">
        <v>29</v>
      </c>
      <c r="E6" s="2" t="s">
        <v>58</v>
      </c>
      <c r="F6" s="2" t="s">
        <v>51</v>
      </c>
      <c r="G6" s="2" t="s">
        <v>60</v>
      </c>
      <c r="H6" s="2" t="s">
        <v>61</v>
      </c>
      <c r="I6" s="2" t="s">
        <v>62</v>
      </c>
      <c r="J6" s="2" t="s">
        <v>55</v>
      </c>
      <c r="K6" s="2" t="s">
        <v>52</v>
      </c>
      <c r="L6" s="2" t="s">
        <v>63</v>
      </c>
      <c r="M6" s="2" t="s">
        <v>64</v>
      </c>
      <c r="N6" s="2" t="s">
        <v>65</v>
      </c>
      <c r="O6" s="2" t="s">
        <v>56</v>
      </c>
      <c r="P6" s="2" t="s">
        <v>25</v>
      </c>
      <c r="Q6" s="2" t="s">
        <v>66</v>
      </c>
      <c r="R6" s="2" t="s">
        <v>67</v>
      </c>
      <c r="S6" s="2" t="s">
        <v>68</v>
      </c>
      <c r="T6" s="2" t="s">
        <v>57</v>
      </c>
      <c r="U6" s="2" t="s">
        <v>26</v>
      </c>
      <c r="V6" s="2" t="s">
        <v>69</v>
      </c>
      <c r="W6" s="2" t="s">
        <v>70</v>
      </c>
      <c r="X6" s="2" t="s">
        <v>71</v>
      </c>
      <c r="Y6" s="2" t="s">
        <v>59</v>
      </c>
    </row>
    <row r="7" spans="1:25">
      <c r="A7" t="s">
        <v>18</v>
      </c>
      <c r="C7" s="2" t="s">
        <v>77</v>
      </c>
      <c r="D7" s="2" t="s">
        <v>78</v>
      </c>
      <c r="E7" s="2" t="s">
        <v>79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3A71-64E0-432B-AE69-EA17CFBC88F3}">
  <dimension ref="A1:B2"/>
  <sheetViews>
    <sheetView workbookViewId="0">
      <selection activeCell="D14" sqref="D14"/>
    </sheetView>
  </sheetViews>
  <sheetFormatPr baseColWidth="10" defaultColWidth="8.83203125" defaultRowHeight="15"/>
  <sheetData>
    <row r="1" spans="1:2">
      <c r="A1" t="s">
        <v>73</v>
      </c>
      <c r="B1" t="s">
        <v>74</v>
      </c>
    </row>
    <row r="2" spans="1:2">
      <c r="A2" t="s">
        <v>72</v>
      </c>
      <c r="B2" t="str" cm="1">
        <f t="array" aca="1" ref="B2" ca="1">LEFT(CELL("filename",$A$1),FIND("[",CELL("filename",$A$1))-1)&amp;"__enums__.xlsx"</f>
        <v>/Volumes/OneTb/GameP/Tools/ExcelConfig/ExcelTables/__enums__.xlsx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3F0F06-A15A-1241-991E-2280C23226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EffectType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2021-08-02T03:12:00Z</dcterms:created>
  <dcterms:modified xsi:type="dcterms:W3CDTF">2025-12-17T08:35:04Z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