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Volumes/OneTb/GameP/Tools/ExcelConfig/ExcelTables/"/>
    </mc:Choice>
  </mc:AlternateContent>
  <xr:revisionPtr revIDLastSave="0" documentId="13_ncr:1_{121A9DEA-159C-8A46-8FEF-F9F421507CCB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Sheet1" sheetId="1" r:id="rId1"/>
    <sheet name="EffectType" sheetId="4" r:id="rId2"/>
    <sheet name="AtkDirType" sheetId="11" r:id="rId3"/>
    <sheet name="Config" sheetId="10" r:id="rId4"/>
  </sheets>
  <definedNames>
    <definedName name="ExternalData_1" localSheetId="1" hidden="1">EffectType!$A$1:$A$16</definedName>
    <definedName name="ExternalData_2" localSheetId="2" hidden="1">AtkDirType!$A$1:$A$6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 a="1"/>
  <c r="B2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BF2B20-0774-1649-993B-F02C1B481819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  <connection id="2" xr16:uid="{7A5D0B3D-7679-644D-8721-475C1C98E596}" keepAlive="1" name="查询 - Sheet1 (2)" description="与工作簿中“Sheet1 (2)”查询的连接。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<sst xmlns="http://schemas.openxmlformats.org/spreadsheetml/2006/main" count="168" uniqueCount="72">
  <si>
    <t>##var</t>
  </si>
  <si>
    <t>##</t>
  </si>
  <si>
    <t>id</t>
  </si>
  <si>
    <t>##type</t>
  </si>
  <si>
    <t>int</t>
  </si>
  <si>
    <t>string</t>
  </si>
  <si>
    <t>##group</t>
  </si>
  <si>
    <t>alias</t>
    <phoneticPr fontId="2" type="noConversion"/>
  </si>
  <si>
    <t>EnumPath</t>
  </si>
  <si>
    <t>参数名</t>
  </si>
  <si>
    <t>参数值</t>
  </si>
  <si>
    <t>Undefine</t>
  </si>
  <si>
    <t>*NoneDic</t>
    <phoneticPr fontId="2" type="noConversion"/>
  </si>
  <si>
    <t>*Op1Dic</t>
    <phoneticPr fontId="2" type="noConversion"/>
  </si>
  <si>
    <t>*Op2Dic</t>
    <phoneticPr fontId="2" type="noConversion"/>
  </si>
  <si>
    <t>map,ActStatus,SkillLaunchCfg</t>
    <phoneticPr fontId="2" type="noConversion"/>
  </si>
  <si>
    <t>$key</t>
    <phoneticPr fontId="2" type="noConversion"/>
  </si>
  <si>
    <t>skillActAlias</t>
    <phoneticPr fontId="2" type="noConversion"/>
  </si>
  <si>
    <t>nextComboStatus</t>
    <phoneticPr fontId="2" type="noConversion"/>
  </si>
  <si>
    <t>名称</t>
  </si>
  <si>
    <t>动作进入</t>
    <phoneticPr fontId="2" type="noConversion"/>
  </si>
  <si>
    <t>技能别名</t>
    <phoneticPr fontId="2" type="noConversion"/>
  </si>
  <si>
    <t>释放后动作状态</t>
    <phoneticPr fontId="2" type="noConversion"/>
  </si>
  <si>
    <t>baseSword</t>
    <phoneticPr fontId="2" type="noConversion"/>
  </si>
  <si>
    <t>w1skill1l</t>
    <phoneticPr fontId="2" type="noConversion"/>
  </si>
  <si>
    <t>Skill1Act</t>
  </si>
  <si>
    <t>IdleOrWalk</t>
  </si>
  <si>
    <t>w1skill1h</t>
    <phoneticPr fontId="2" type="noConversion"/>
  </si>
  <si>
    <t>w1skill2l</t>
  </si>
  <si>
    <t>Skill2Act</t>
  </si>
  <si>
    <t>w1skill2h</t>
  </si>
  <si>
    <t>w1skill3l</t>
  </si>
  <si>
    <t>w1skill3h</t>
  </si>
  <si>
    <t>baseKickBack</t>
    <phoneticPr fontId="2" type="noConversion"/>
  </si>
  <si>
    <t>OnDash</t>
  </si>
  <si>
    <t>w1skill4l</t>
    <phoneticPr fontId="2" type="noConversion"/>
  </si>
  <si>
    <t>w1skill4h</t>
    <phoneticPr fontId="2" type="noConversion"/>
  </si>
  <si>
    <t>baseRifle</t>
    <phoneticPr fontId="2" type="noConversion"/>
  </si>
  <si>
    <t>baseKickBackFire</t>
    <phoneticPr fontId="2" type="noConversion"/>
  </si>
  <si>
    <t>baseRL1</t>
    <phoneticPr fontId="2" type="noConversion"/>
  </si>
  <si>
    <t>ActStatus</t>
  </si>
  <si>
    <t>Run</t>
  </si>
  <si>
    <t>SkillUpParry</t>
  </si>
  <si>
    <t>SkillLeftParry</t>
  </si>
  <si>
    <t>SkilRightParry</t>
  </si>
  <si>
    <t>SkillDownParry</t>
  </si>
  <si>
    <t>SkillOtherParry</t>
  </si>
  <si>
    <t>Skill3Act</t>
  </si>
  <si>
    <t>Skill4Act</t>
  </si>
  <si>
    <t>Skill5Act</t>
  </si>
  <si>
    <t>*DashDic</t>
    <phoneticPr fontId="2" type="noConversion"/>
  </si>
  <si>
    <t>IdleOrWalk</t>
    <phoneticPr fontId="2" type="noConversion"/>
  </si>
  <si>
    <t>w1Dash</t>
    <phoneticPr fontId="2" type="noConversion"/>
  </si>
  <si>
    <t>OnDash</t>
    <phoneticPr fontId="2" type="noConversion"/>
  </si>
  <si>
    <t>map,AtkDirType,SkillLaunchCfg</t>
    <phoneticPr fontId="2" type="noConversion"/>
  </si>
  <si>
    <t>OnCatchOrBlock</t>
  </si>
  <si>
    <t>攻击方向</t>
    <phoneticPr fontId="2" type="noConversion"/>
  </si>
  <si>
    <t>释放后动作状态，这里只有挡住Melee子弹改变状态</t>
    <phoneticPr fontId="2" type="noConversion"/>
  </si>
  <si>
    <t>Up</t>
  </si>
  <si>
    <t>Left</t>
  </si>
  <si>
    <t>Right</t>
  </si>
  <si>
    <t>Down</t>
  </si>
  <si>
    <t>Other</t>
  </si>
  <si>
    <t>AtkDirType</t>
    <phoneticPr fontId="2" type="noConversion"/>
  </si>
  <si>
    <t>w1skill1b</t>
    <phoneticPr fontId="2" type="noConversion"/>
  </si>
  <si>
    <t>w1skill2b</t>
    <phoneticPr fontId="2" type="noConversion"/>
  </si>
  <si>
    <t>w1skill3b</t>
    <phoneticPr fontId="2" type="noConversion"/>
  </si>
  <si>
    <t>*BlockParryDic</t>
    <phoneticPr fontId="2" type="noConversion"/>
  </si>
  <si>
    <t>w1blockL</t>
    <phoneticPr fontId="2" type="noConversion"/>
  </si>
  <si>
    <t>w1blockR</t>
    <phoneticPr fontId="2" type="noConversion"/>
  </si>
  <si>
    <t>w2blockU</t>
    <phoneticPr fontId="2" type="noConversion"/>
  </si>
  <si>
    <t>w2blockO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</si>
</sst>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78BF05-676B-014F-A28C-7D5351EF0F9B}" autoFormatId="16" applyNumberFormats="0" applyBorderFormats="0" applyFontFormats="0" applyPatternFormats="0" applyAlignmentFormats="0" applyWidthHeightFormats="0">
  <queryTableRefresh nextId="32">
    <queryTableFields count="1">
      <queryTableField id="31" name="ActStatus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65B1C2B-8BC2-3B4E-B647-C3023D44237C}" autoFormatId="16" applyNumberFormats="0" applyBorderFormats="0" applyFontFormats="0" applyPatternFormats="0" applyAlignmentFormats="0" applyWidthHeightFormats="0">
  <queryTableRefresh nextId="2">
    <queryTableFields count="1">
      <queryTableField id="1" name="AtkDirTyp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0BD9A-DE58-B84F-AEED-5AF37791C432}" name="Sheet1" displayName="Sheet1" ref="A1:A16" tableType="queryTable" totalsRowShown="0">
  <autoFilter ref="A1:A16" xr:uid="{4ED0BD9A-DE58-B84F-AEED-5AF37791C432}"/>
  <tableColumns count="1">
    <tableColumn id="1" xr3:uid="{54B15A61-D176-45D0-A74E-DB9CA203F3E5}" uniqueName="1" name="ActStatus" queryTableField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B9912C-85EC-C74C-B1DE-6AE91D0F57DF}" name="Sheet1__2" displayName="Sheet1__2" ref="A1:A6" tableType="queryTable" totalsRowShown="0">
  <autoFilter ref="A1:A6" xr:uid="{B0B9912C-85EC-C74C-B1DE-6AE91D0F57DF}"/>
  <tableColumns count="1">
    <tableColumn id="1" xr3:uid="{01971504-B80A-A242-84C8-6E65BAAFA2AA}" uniqueName="1" name="AtkDirTyp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952F8C-32DC-4F53-861D-06C240E5EA86}" name="ConfigTable" displayName="ConfigTable" ref="A1:B2" totalsRowShown="0">
  <autoFilter ref="A1:B2" xr:uid="{E4952F8C-32DC-4F53-861D-06C240E5EA86}"/>
  <tableColumns count="2">
    <tableColumn id="1" xr3:uid="{B2A2C066-A6F5-432B-8B8F-0AA3655D77C7}" name="参数名"/>
    <tableColumn id="2" xr3:uid="{06A18487-10AE-4680-9E5E-6E81FE90910F}" name="参数值">
      <calculatedColumnFormula array="1">LEFT(CELL("filename",$A$1),FIND("[",CELL("filename",$A$1))-1)&amp;"__enums__.xlsx"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B1" workbookViewId="0">
      <selection activeCell="N26" sqref="N26"/>
    </sheetView>
  </sheetViews>
  <sheetFormatPr baseColWidth="10" defaultColWidth="9" defaultRowHeight="15"/>
  <cols>
    <col min="2" max="2" width="29.1640625" customWidth="1"/>
    <col min="3" max="3" width="18" customWidth="1"/>
    <col min="4" max="5" width="19.6640625" customWidth="1"/>
    <col min="6" max="6" width="18" customWidth="1"/>
    <col min="7" max="7" width="12" customWidth="1"/>
    <col min="8" max="8" width="17.33203125" customWidth="1"/>
    <col min="9" max="9" width="17" customWidth="1"/>
    <col min="10" max="10" width="12" customWidth="1"/>
    <col min="11" max="11" width="12.33203125" customWidth="1"/>
    <col min="12" max="12" width="17" customWidth="1"/>
    <col min="13" max="13" width="14.33203125" customWidth="1"/>
    <col min="14" max="14" width="13.1640625" customWidth="1"/>
    <col min="15" max="15" width="15.6640625" customWidth="1"/>
    <col min="16" max="16" width="10.33203125" customWidth="1"/>
    <col min="17" max="17" width="10.5" customWidth="1"/>
    <col min="18" max="18" width="15.1640625" customWidth="1"/>
  </cols>
  <sheetData>
    <row r="1" spans="1:18" s="1" customFormat="1">
      <c r="A1" t="s">
        <v>0</v>
      </c>
      <c r="B1" t="s">
        <v>2</v>
      </c>
      <c r="C1" s="2" t="s">
        <v>7</v>
      </c>
      <c r="D1" s="3" t="s">
        <v>67</v>
      </c>
      <c r="E1" s="3"/>
      <c r="F1" s="3"/>
      <c r="G1" s="3" t="s">
        <v>12</v>
      </c>
      <c r="H1" s="3"/>
      <c r="I1" s="3"/>
      <c r="J1" s="3" t="s">
        <v>13</v>
      </c>
      <c r="K1" s="3"/>
      <c r="L1" s="3"/>
      <c r="M1" s="3" t="s">
        <v>14</v>
      </c>
      <c r="N1" s="3"/>
      <c r="O1" s="3"/>
      <c r="P1" s="3" t="s">
        <v>50</v>
      </c>
      <c r="Q1" s="3"/>
      <c r="R1" s="3"/>
    </row>
    <row r="2" spans="1:18" s="1" customFormat="1">
      <c r="A2" t="s">
        <v>3</v>
      </c>
      <c r="B2" t="s">
        <v>4</v>
      </c>
      <c r="C2" t="s">
        <v>5</v>
      </c>
      <c r="D2" s="3" t="s">
        <v>54</v>
      </c>
      <c r="E2" s="3"/>
      <c r="F2" s="3"/>
      <c r="G2" s="3" t="s">
        <v>15</v>
      </c>
      <c r="H2" s="3"/>
      <c r="I2" s="3"/>
      <c r="J2" s="3" t="s">
        <v>15</v>
      </c>
      <c r="K2" s="3"/>
      <c r="L2" s="3"/>
      <c r="M2" s="3" t="s">
        <v>15</v>
      </c>
      <c r="N2" s="3"/>
      <c r="O2" s="3"/>
      <c r="P2" s="3" t="s">
        <v>15</v>
      </c>
      <c r="Q2" s="3"/>
      <c r="R2" s="3"/>
    </row>
    <row r="3" spans="1:18" s="1" customFormat="1">
      <c r="A3" t="s">
        <v>0</v>
      </c>
      <c r="B3"/>
      <c r="C3" s="2"/>
      <c r="D3" s="2" t="s">
        <v>16</v>
      </c>
      <c r="E3" s="2" t="s">
        <v>17</v>
      </c>
      <c r="F3" s="2" t="s">
        <v>18</v>
      </c>
      <c r="G3" s="2" t="s">
        <v>16</v>
      </c>
      <c r="H3" s="2" t="s">
        <v>17</v>
      </c>
      <c r="I3" s="2" t="s">
        <v>18</v>
      </c>
      <c r="J3" s="2" t="s">
        <v>16</v>
      </c>
      <c r="K3" s="2" t="s">
        <v>17</v>
      </c>
      <c r="L3" s="2" t="s">
        <v>18</v>
      </c>
      <c r="M3" s="2" t="s">
        <v>16</v>
      </c>
      <c r="N3" s="2" t="s">
        <v>17</v>
      </c>
      <c r="O3" s="2" t="s">
        <v>18</v>
      </c>
      <c r="P3" s="2" t="s">
        <v>16</v>
      </c>
      <c r="Q3" s="2" t="s">
        <v>17</v>
      </c>
      <c r="R3" s="2" t="s">
        <v>18</v>
      </c>
    </row>
    <row r="4" spans="1:18" s="1" customFormat="1">
      <c r="A4"/>
      <c r="B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8" s="1" customFormat="1">
      <c r="A5" t="s">
        <v>6</v>
      </c>
      <c r="B5"/>
      <c r="C5"/>
      <c r="D5"/>
      <c r="E5"/>
      <c r="F5"/>
      <c r="G5"/>
      <c r="H5"/>
      <c r="I5"/>
      <c r="J5"/>
      <c r="K5"/>
      <c r="L5"/>
      <c r="M5"/>
    </row>
    <row r="6" spans="1:18">
      <c r="A6" t="s">
        <v>1</v>
      </c>
      <c r="B6" t="s">
        <v>2</v>
      </c>
      <c r="C6" t="s">
        <v>19</v>
      </c>
      <c r="D6" s="2" t="s">
        <v>56</v>
      </c>
      <c r="E6" s="2" t="s">
        <v>21</v>
      </c>
      <c r="F6" s="2" t="s">
        <v>57</v>
      </c>
      <c r="G6" s="2" t="s">
        <v>20</v>
      </c>
      <c r="H6" s="2" t="s">
        <v>21</v>
      </c>
      <c r="I6" s="2" t="s">
        <v>22</v>
      </c>
      <c r="J6" s="2" t="s">
        <v>20</v>
      </c>
      <c r="K6" s="2" t="s">
        <v>21</v>
      </c>
      <c r="L6" s="2" t="s">
        <v>22</v>
      </c>
      <c r="M6" s="2" t="s">
        <v>20</v>
      </c>
      <c r="N6" s="2" t="s">
        <v>21</v>
      </c>
      <c r="O6" s="2" t="s">
        <v>22</v>
      </c>
    </row>
    <row r="7" spans="1:18">
      <c r="B7">
        <v>1001</v>
      </c>
      <c r="C7" s="2" t="s">
        <v>23</v>
      </c>
      <c r="D7" s="2" t="s">
        <v>58</v>
      </c>
      <c r="E7" s="2" t="s">
        <v>71</v>
      </c>
      <c r="F7" t="s">
        <v>55</v>
      </c>
      <c r="G7" t="s">
        <v>42</v>
      </c>
      <c r="H7" s="2" t="s">
        <v>64</v>
      </c>
      <c r="I7" t="s">
        <v>25</v>
      </c>
      <c r="J7" t="s">
        <v>26</v>
      </c>
      <c r="K7" s="2" t="s">
        <v>24</v>
      </c>
      <c r="L7" t="s">
        <v>25</v>
      </c>
      <c r="M7" t="s">
        <v>26</v>
      </c>
      <c r="N7" s="2" t="s">
        <v>27</v>
      </c>
      <c r="O7" t="s">
        <v>25</v>
      </c>
      <c r="P7" s="2" t="s">
        <v>51</v>
      </c>
      <c r="Q7" s="2" t="s">
        <v>52</v>
      </c>
      <c r="R7" s="2" t="s">
        <v>53</v>
      </c>
    </row>
    <row r="8" spans="1:18">
      <c r="C8" s="2"/>
      <c r="D8" s="2" t="s">
        <v>59</v>
      </c>
      <c r="E8" s="2" t="s">
        <v>68</v>
      </c>
      <c r="F8" t="s">
        <v>43</v>
      </c>
      <c r="G8" t="s">
        <v>44</v>
      </c>
      <c r="H8" s="2" t="s">
        <v>65</v>
      </c>
      <c r="I8" t="s">
        <v>29</v>
      </c>
      <c r="J8" t="s">
        <v>25</v>
      </c>
      <c r="K8" s="2" t="s">
        <v>28</v>
      </c>
      <c r="L8" t="s">
        <v>29</v>
      </c>
      <c r="M8" t="s">
        <v>25</v>
      </c>
      <c r="N8" s="2" t="s">
        <v>30</v>
      </c>
      <c r="O8" t="s">
        <v>29</v>
      </c>
      <c r="P8" t="s">
        <v>25</v>
      </c>
      <c r="Q8" s="2" t="s">
        <v>52</v>
      </c>
      <c r="R8" s="2" t="s">
        <v>53</v>
      </c>
    </row>
    <row r="9" spans="1:18">
      <c r="C9" s="2"/>
      <c r="D9" s="2" t="s">
        <v>60</v>
      </c>
      <c r="E9" s="2" t="s">
        <v>69</v>
      </c>
      <c r="F9" t="s">
        <v>44</v>
      </c>
      <c r="G9" t="s">
        <v>43</v>
      </c>
      <c r="H9" s="2" t="s">
        <v>66</v>
      </c>
      <c r="I9" t="s">
        <v>26</v>
      </c>
      <c r="J9" t="s">
        <v>29</v>
      </c>
      <c r="K9" s="2" t="s">
        <v>31</v>
      </c>
      <c r="L9" s="2" t="s">
        <v>51</v>
      </c>
      <c r="M9" t="s">
        <v>29</v>
      </c>
      <c r="N9" s="2" t="s">
        <v>32</v>
      </c>
      <c r="O9" t="s">
        <v>26</v>
      </c>
      <c r="P9" t="s">
        <v>29</v>
      </c>
      <c r="Q9" s="2" t="s">
        <v>52</v>
      </c>
      <c r="R9" s="2" t="s">
        <v>53</v>
      </c>
    </row>
    <row r="10" spans="1:18">
      <c r="C10" s="2"/>
      <c r="D10" s="2" t="s">
        <v>61</v>
      </c>
      <c r="E10" s="2" t="s">
        <v>70</v>
      </c>
      <c r="F10" t="s">
        <v>42</v>
      </c>
      <c r="G10" t="s">
        <v>55</v>
      </c>
      <c r="H10" s="2" t="s">
        <v>33</v>
      </c>
      <c r="I10" t="s">
        <v>26</v>
      </c>
      <c r="J10" t="s">
        <v>34</v>
      </c>
      <c r="K10" s="2" t="s">
        <v>35</v>
      </c>
      <c r="L10" t="s">
        <v>25</v>
      </c>
      <c r="M10" t="s">
        <v>34</v>
      </c>
      <c r="N10" s="2" t="s">
        <v>36</v>
      </c>
      <c r="O10" t="s">
        <v>25</v>
      </c>
      <c r="Q10" s="2"/>
    </row>
    <row r="11" spans="1:18">
      <c r="C11" s="2"/>
      <c r="D11" s="2" t="s">
        <v>62</v>
      </c>
      <c r="E11" s="2" t="s">
        <v>71</v>
      </c>
      <c r="F11" t="s">
        <v>55</v>
      </c>
      <c r="H11" s="2"/>
      <c r="J11" t="s">
        <v>55</v>
      </c>
      <c r="K11" s="2" t="s">
        <v>33</v>
      </c>
      <c r="L11" t="s">
        <v>26</v>
      </c>
      <c r="M11" t="s">
        <v>55</v>
      </c>
      <c r="N11" s="2" t="s">
        <v>33</v>
      </c>
      <c r="O11" t="s">
        <v>26</v>
      </c>
      <c r="Q11" s="2"/>
    </row>
    <row r="12" spans="1:18">
      <c r="C12" s="2"/>
      <c r="D12" s="2"/>
      <c r="E12" s="2"/>
      <c r="H12" s="2"/>
      <c r="J12" t="s">
        <v>42</v>
      </c>
      <c r="K12" s="2" t="s">
        <v>64</v>
      </c>
      <c r="L12" t="s">
        <v>25</v>
      </c>
      <c r="M12" t="s">
        <v>42</v>
      </c>
      <c r="N12" s="2" t="s">
        <v>64</v>
      </c>
      <c r="O12" t="s">
        <v>25</v>
      </c>
    </row>
    <row r="13" spans="1:18">
      <c r="C13" s="2"/>
      <c r="D13" s="2"/>
      <c r="E13" s="2"/>
      <c r="H13" s="2"/>
      <c r="J13" t="s">
        <v>43</v>
      </c>
      <c r="K13" s="2" t="s">
        <v>65</v>
      </c>
      <c r="L13" t="s">
        <v>29</v>
      </c>
      <c r="M13" t="s">
        <v>43</v>
      </c>
      <c r="N13" s="2" t="s">
        <v>65</v>
      </c>
      <c r="O13" t="s">
        <v>29</v>
      </c>
    </row>
    <row r="14" spans="1:18">
      <c r="C14" s="2"/>
      <c r="D14" s="2"/>
      <c r="E14" s="2"/>
      <c r="H14" s="2"/>
      <c r="J14" t="s">
        <v>44</v>
      </c>
      <c r="K14" s="2" t="s">
        <v>66</v>
      </c>
      <c r="L14" t="s">
        <v>26</v>
      </c>
      <c r="M14" t="s">
        <v>44</v>
      </c>
      <c r="N14" s="2" t="s">
        <v>66</v>
      </c>
      <c r="O14" t="s">
        <v>26</v>
      </c>
    </row>
    <row r="15" spans="1:18">
      <c r="C15" s="2"/>
      <c r="D15" s="2"/>
      <c r="E15" s="2"/>
      <c r="H15" s="2"/>
      <c r="K15" s="2"/>
      <c r="N15" s="2"/>
    </row>
    <row r="16" spans="1:18">
      <c r="C16" s="2"/>
      <c r="D16" s="2"/>
      <c r="E16" s="2"/>
      <c r="H16" s="2"/>
      <c r="K16" s="2"/>
      <c r="N16" s="2"/>
    </row>
    <row r="18" spans="2:15">
      <c r="C18" s="2"/>
      <c r="D18" s="2"/>
      <c r="E18" s="2"/>
      <c r="H18" s="2"/>
      <c r="K18" s="2"/>
      <c r="N18" s="2"/>
    </row>
    <row r="19" spans="2:15">
      <c r="C19" s="2"/>
      <c r="D19" s="2"/>
      <c r="E19" s="2"/>
      <c r="F19" s="2"/>
    </row>
    <row r="20" spans="2:15">
      <c r="B20">
        <v>1002</v>
      </c>
      <c r="C20" s="2" t="s">
        <v>37</v>
      </c>
      <c r="D20" s="2"/>
      <c r="E20" s="2"/>
      <c r="F20" s="2"/>
      <c r="G20" t="s">
        <v>55</v>
      </c>
      <c r="H20" s="2" t="s">
        <v>38</v>
      </c>
      <c r="I20" t="s">
        <v>26</v>
      </c>
      <c r="J20" t="s">
        <v>26</v>
      </c>
      <c r="K20" s="2" t="s">
        <v>39</v>
      </c>
      <c r="L20" t="s">
        <v>26</v>
      </c>
      <c r="M20" t="s">
        <v>26</v>
      </c>
      <c r="N20" s="2" t="s">
        <v>39</v>
      </c>
      <c r="O20" t="s">
        <v>26</v>
      </c>
    </row>
  </sheetData>
  <mergeCells count="10">
    <mergeCell ref="P1:R1"/>
    <mergeCell ref="P2:R2"/>
    <mergeCell ref="D1:F1"/>
    <mergeCell ref="D2:F2"/>
    <mergeCell ref="G1:I1"/>
    <mergeCell ref="J1:L1"/>
    <mergeCell ref="M1:O1"/>
    <mergeCell ref="G2:I2"/>
    <mergeCell ref="J2:L2"/>
    <mergeCell ref="M2:O2"/>
  </mergeCells>
  <phoneticPr fontId="2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3421C1-5A0F-4078-B0E6-42201A0A55ED}">
          <x14:formula1>
            <xm:f>EffectType!$A:$A</xm:f>
          </x14:formula1>
          <xm:sqref>P7:P9 F18 O7:O16 O18:O23 L18:M23 J18:J23 G18:G22 I18:I22 I7:J16 L7:M16 F7:G16</xm:sqref>
        </x14:dataValidation>
        <x14:dataValidation type="list" allowBlank="1" showInputMessage="1" showErrorMessage="1" xr:uid="{ECDCCA4F-ECAE-BF42-AE41-72B56AEE208E}">
          <x14:formula1>
            <xm:f>AtkDirType!$A:$A</xm:f>
          </x14:formula1>
          <xm:sqref>D7:D17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7B9C-7E5A-674A-9D98-D22C72AA8EEE}">
  <dimension ref="A1:Y16"/>
  <sheetViews>
    <sheetView workbookViewId="0">
      <selection activeCell="F14" sqref="F14"/>
    </sheetView>
  </sheetViews>
  <sheetFormatPr baseColWidth="10" defaultColWidth="11" defaultRowHeight="15"/>
  <cols>
    <col min="1" max="1" width="15" bestFit="1" customWidth="1"/>
    <col min="2" max="3" width="15.5" bestFit="1" customWidth="1"/>
    <col min="4" max="4" width="12.6640625" customWidth="1"/>
    <col min="5" max="5" width="21" customWidth="1"/>
    <col min="6" max="6" width="14.1640625" bestFit="1" customWidth="1"/>
    <col min="7" max="7" width="8.1640625" bestFit="1" customWidth="1"/>
    <col min="8" max="8" width="10.83203125" bestFit="1" customWidth="1"/>
    <col min="9" max="9" width="6.33203125" bestFit="1" customWidth="1"/>
    <col min="10" max="10" width="15.5" bestFit="1" customWidth="1"/>
    <col min="11" max="11" width="10.5" bestFit="1" customWidth="1"/>
    <col min="12" max="12" width="14.33203125" bestFit="1" customWidth="1"/>
    <col min="13" max="14" width="11.5" bestFit="1" customWidth="1"/>
    <col min="15" max="17" width="12" bestFit="1" customWidth="1"/>
    <col min="18" max="18" width="16.33203125" bestFit="1" customWidth="1"/>
    <col min="19" max="19" width="12" bestFit="1" customWidth="1"/>
    <col min="20" max="20" width="15.33203125" bestFit="1" customWidth="1"/>
    <col min="21" max="22" width="13" bestFit="1" customWidth="1"/>
  </cols>
  <sheetData>
    <row r="1" spans="1:25">
      <c r="A1" t="s">
        <v>40</v>
      </c>
      <c r="B1" s="2"/>
    </row>
    <row r="2" spans="1:25">
      <c r="A2" t="s">
        <v>11</v>
      </c>
      <c r="B2" s="2"/>
    </row>
    <row r="3" spans="1:25">
      <c r="A3" t="s">
        <v>26</v>
      </c>
      <c r="C3" s="2"/>
      <c r="D3" s="2"/>
    </row>
    <row r="4" spans="1:25">
      <c r="A4" t="s">
        <v>41</v>
      </c>
      <c r="C4" s="2"/>
      <c r="D4" s="2"/>
      <c r="E4" s="2"/>
      <c r="F4" s="2"/>
    </row>
    <row r="5" spans="1:25">
      <c r="A5" t="s">
        <v>42</v>
      </c>
      <c r="C5" s="2"/>
      <c r="D5" s="2"/>
      <c r="E5" s="2"/>
      <c r="F5" s="2"/>
      <c r="G5" s="2"/>
      <c r="H5" s="2"/>
    </row>
    <row r="6" spans="1:25">
      <c r="A6" t="s">
        <v>43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t="s">
        <v>44</v>
      </c>
      <c r="C7" s="2"/>
      <c r="D7" s="2"/>
    </row>
    <row r="8" spans="1:25">
      <c r="A8" t="s">
        <v>45</v>
      </c>
    </row>
    <row r="9" spans="1:25">
      <c r="A9" t="s">
        <v>46</v>
      </c>
    </row>
    <row r="10" spans="1:25">
      <c r="A10" t="s">
        <v>25</v>
      </c>
    </row>
    <row r="11" spans="1:25">
      <c r="A11" t="s">
        <v>29</v>
      </c>
    </row>
    <row r="12" spans="1:25">
      <c r="A12" t="s">
        <v>47</v>
      </c>
    </row>
    <row r="13" spans="1:25">
      <c r="A13" t="s">
        <v>48</v>
      </c>
    </row>
    <row r="14" spans="1:25">
      <c r="A14" t="s">
        <v>49</v>
      </c>
    </row>
    <row r="15" spans="1:25">
      <c r="A15" t="s">
        <v>34</v>
      </c>
    </row>
    <row r="16" spans="1:25">
      <c r="A16" t="s">
        <v>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96C5-B105-B948-AFE9-4DCD923E1D5A}">
  <dimension ref="A1:A6"/>
  <sheetViews>
    <sheetView workbookViewId="0">
      <selection activeCell="G37" sqref="G37"/>
    </sheetView>
  </sheetViews>
  <sheetFormatPr baseColWidth="10" defaultRowHeight="15"/>
  <cols>
    <col min="1" max="1" width="14" bestFit="1" customWidth="1"/>
  </cols>
  <sheetData>
    <row r="1" spans="1:1">
      <c r="A1" s="2" t="s">
        <v>63</v>
      </c>
    </row>
    <row r="2" spans="1:1">
      <c r="A2" t="s">
        <v>58</v>
      </c>
    </row>
    <row r="3" spans="1:1">
      <c r="A3" t="s">
        <v>59</v>
      </c>
    </row>
    <row r="4" spans="1:1">
      <c r="A4" t="s">
        <v>60</v>
      </c>
    </row>
    <row r="5" spans="1:1">
      <c r="A5" t="s">
        <v>61</v>
      </c>
    </row>
    <row r="6" spans="1:1">
      <c r="A6" t="s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3A71-64E0-432B-AE69-EA17CFBC88F3}">
  <dimension ref="A1:B2"/>
  <sheetViews>
    <sheetView workbookViewId="0">
      <selection activeCell="D14" sqref="D14"/>
    </sheetView>
  </sheetViews>
  <sheetFormatPr baseColWidth="10" defaultColWidth="8.83203125" defaultRowHeight="15"/>
  <sheetData>
    <row r="1" spans="1:2">
      <c r="A1" t="s">
        <v>9</v>
      </c>
      <c r="B1" t="s">
        <v>10</v>
      </c>
    </row>
    <row r="2" spans="1:2">
      <c r="A2" t="s">
        <v>8</v>
      </c>
      <c r="B2" t="str" cm="1">
        <f t="array" aca="1" ref="B2" ca="1">LEFT(CELL("filename",$A$1),FIND("[",CELL("filename",$A$1))-1)&amp;"__enums__.xlsx"</f>
        <v>/Volumes/OneTb/GameP/Tools/ExcelConfig/ExcelTables/__enums__.xlsx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F0F06-A15A-1241-991E-2280C2322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EffectType</vt:lpstr>
      <vt:lpstr>AtkDirType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2025-12-18T09:19:09Z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