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GameP\Tools\ExcelConfig\ExcelTables\"/>
    </mc:Choice>
  </mc:AlternateContent>
  <xr:revisionPtr revIDLastSave="0" documentId="13_ncr:1_{4BF61845-DC13-43A1-9F6A-13B2264EF7E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Config" sheetId="2" r:id="rId2"/>
    <sheet name="AtkDir" sheetId="5" r:id="rId3"/>
  </sheets>
  <definedNames>
    <definedName name="ExternalData_1" localSheetId="2" hidden="1">AtkDir!$A$1:$A$6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DFE41-6170-4ACB-B9F6-869B3310DE10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<sst xmlns="http://schemas.openxmlformats.org/spreadsheetml/2006/main" count="117" uniqueCount="86">
  <si>
    <t>##var</t>
  </si>
  <si>
    <t>##</t>
  </si>
  <si>
    <t>id</t>
  </si>
  <si>
    <t>##type</t>
  </si>
  <si>
    <t>int</t>
  </si>
  <si>
    <t>string</t>
  </si>
  <si>
    <t>##group</t>
  </si>
  <si>
    <t>alias</t>
    <phoneticPr fontId="2" type="noConversion"/>
  </si>
  <si>
    <t>在第一帧选目标的区域，空代表没有，如果选定目标，技能产生的移动会向目标调整,抓取引发的技能无效，因为技能发动时距离已设定好，配置后其他子弹必须大于等于0.2秒</t>
  </si>
  <si>
    <t>消费Sp</t>
  </si>
  <si>
    <t>时间在第一位，后续是发射的子弹Id，时间会自动转换，从1开始，配置0帧的技能会无效</t>
  </si>
  <si>
    <t>强制移动变化时间</t>
  </si>
  <si>
    <t>运动速度切换，毫米/秒，超出的视为0</t>
  </si>
  <si>
    <t>额外距离保持</t>
  </si>
  <si>
    <t>技能必须帧（技能在释放完这些帧之前不能取消，如果攻击成功，则对手也需要在这个时间点同时恢复姿态）</t>
  </si>
  <si>
    <t>下个技能可输入时间</t>
  </si>
  <si>
    <t>技能完整帧数，回到可移动</t>
  </si>
  <si>
    <t>fromWeaponId</t>
    <phoneticPr fontId="2" type="noConversion"/>
  </si>
  <si>
    <t>spCost</t>
    <phoneticPr fontId="2" type="noConversion"/>
  </si>
  <si>
    <t>parryPauseTime</t>
    <phoneticPr fontId="2" type="noConversion"/>
  </si>
  <si>
    <t>baseTough</t>
    <phoneticPr fontId="2" type="noConversion"/>
  </si>
  <si>
    <t>keepDistance</t>
    <phoneticPr fontId="2" type="noConversion"/>
  </si>
  <si>
    <t>skillAIRange</t>
    <phoneticPr fontId="2" type="noConversion"/>
  </si>
  <si>
    <t>skillMustTime</t>
    <phoneticPr fontId="2" type="noConversion"/>
  </si>
  <si>
    <t>skillMaxTime</t>
    <phoneticPr fontId="2" type="noConversion"/>
  </si>
  <si>
    <t>从属武器，通用为0</t>
    <phoneticPr fontId="2" type="noConversion"/>
  </si>
  <si>
    <t>int</t>
    <phoneticPr fontId="2" type="noConversion"/>
  </si>
  <si>
    <t>别名</t>
    <phoneticPr fontId="2" type="noConversion"/>
  </si>
  <si>
    <t>string</t>
    <phoneticPr fontId="2" type="noConversion"/>
  </si>
  <si>
    <t>基础坚韧:0值会根据子弹发射最快的自动计算</t>
    <phoneticPr fontId="2" type="noConversion"/>
  </si>
  <si>
    <t>launchTime</t>
    <phoneticPr fontId="2" type="noConversion"/>
  </si>
  <si>
    <t>mediaAlias</t>
    <phoneticPr fontId="2" type="noConversion"/>
  </si>
  <si>
    <t>w1skill1l</t>
    <phoneticPr fontId="2" type="noConversion"/>
  </si>
  <si>
    <t>w1skill2l</t>
  </si>
  <si>
    <t>w1skill3l</t>
  </si>
  <si>
    <t>w1skill1h</t>
    <phoneticPr fontId="2" type="noConversion"/>
  </si>
  <si>
    <t>w1skill2h</t>
  </si>
  <si>
    <t>w1skill3h</t>
  </si>
  <si>
    <t>standardb1</t>
    <phoneticPr fontId="2" type="noConversion"/>
  </si>
  <si>
    <t>changeTime</t>
    <phoneticPr fontId="2" type="noConversion"/>
  </si>
  <si>
    <t>*moveChangeTimeS</t>
    <phoneticPr fontId="2" type="noConversion"/>
  </si>
  <si>
    <t>comboInputCacheStartTime</t>
    <phoneticPr fontId="2" type="noConversion"/>
  </si>
  <si>
    <t>list,MovementChangeCfg</t>
    <phoneticPr fontId="4" type="noConversion"/>
  </si>
  <si>
    <t>lockMediaAlias</t>
    <phoneticPr fontId="2" type="noConversion"/>
  </si>
  <si>
    <t>*launchTimeToMediaAlias</t>
    <phoneticPr fontId="2" type="noConversion"/>
  </si>
  <si>
    <t>standardLockMedia</t>
    <phoneticPr fontId="2" type="noConversion"/>
  </si>
  <si>
    <t>w1skill4l</t>
    <phoneticPr fontId="2" type="noConversion"/>
  </si>
  <si>
    <t>w1skill4h</t>
    <phoneticPr fontId="2" type="noConversion"/>
  </si>
  <si>
    <t>技能AI范围</t>
    <phoneticPr fontId="2" type="noConversion"/>
  </si>
  <si>
    <t>baseRL1</t>
    <phoneticPr fontId="2" type="noConversion"/>
  </si>
  <si>
    <t>EffectType</t>
  </si>
  <si>
    <t>StandardDamage</t>
  </si>
  <si>
    <t>Push</t>
  </si>
  <si>
    <t>Pull</t>
  </si>
  <si>
    <t>Caught</t>
  </si>
  <si>
    <t>Lock</t>
  </si>
  <si>
    <t>standardRB</t>
    <phoneticPr fontId="2" type="noConversion"/>
  </si>
  <si>
    <t>baseKickBack</t>
    <phoneticPr fontId="2" type="noConversion"/>
  </si>
  <si>
    <t>standardM1</t>
    <phoneticPr fontId="2" type="noConversion"/>
  </si>
  <si>
    <t>standardM2</t>
    <phoneticPr fontId="2" type="noConversion"/>
  </si>
  <si>
    <t>standardM3</t>
    <phoneticPr fontId="2" type="noConversion"/>
  </si>
  <si>
    <t>kickBackFire</t>
  </si>
  <si>
    <t>standardRP</t>
    <phoneticPr fontId="2" type="noConversion"/>
  </si>
  <si>
    <t>offSetXInt</t>
    <phoneticPr fontId="2" type="noConversion"/>
  </si>
  <si>
    <t>offSetZInt</t>
    <phoneticPr fontId="2" type="noConversion"/>
  </si>
  <si>
    <t>zInt</t>
    <phoneticPr fontId="2" type="noConversion"/>
  </si>
  <si>
    <t>xInt</t>
    <phoneticPr fontId="2" type="noConversion"/>
  </si>
  <si>
    <t>rotateY</t>
    <phoneticPr fontId="2" type="noConversion"/>
  </si>
  <si>
    <t>AtkDirType</t>
  </si>
  <si>
    <t>Up</t>
  </si>
  <si>
    <t>Left</t>
  </si>
  <si>
    <t>Right</t>
  </si>
  <si>
    <t>Down</t>
  </si>
  <si>
    <t>Other</t>
  </si>
  <si>
    <t>list,LauncherCfg</t>
  </si>
  <si>
    <t>parryWindow</t>
  </si>
  <si>
    <t>dodgeWindow</t>
  </si>
  <si>
    <t>atkDir</t>
  </si>
  <si>
    <t>招架暂停时间</t>
  </si>
  <si>
    <t>招架窗口：在启动阶段可以通过招架来应对的最高时间并派生其他动作</t>
  </si>
  <si>
    <t>闪避窗口：在启动阶段通过闪避来应对，并可以派生，0默认为第一次laubchtime</t>
  </si>
  <si>
    <t>给自己的效果</t>
  </si>
  <si>
    <t>*SelfEffectAlias</t>
  </si>
  <si>
    <t>参数名</t>
  </si>
  <si>
    <t>参数值</t>
  </si>
  <si>
    <t>EnumPath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</si>
</sst>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" fillId="2" borderId="1" xfId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1" applyAlignment="1">
      <alignment vertical="center" wrapText="1"/>
    </xf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3">
    <cellStyle name="常规" xfId="0" builtinId="0"/>
    <cellStyle name="常规 2" xfId="2" xr:uid="{94C0AD91-B8CC-D34E-A8E0-D7BD86DBBD09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8E2BDB-CC46-49A4-8774-E25D4FEE3C00}" autoFormatId="16" applyNumberFormats="0" applyBorderFormats="0" applyFontFormats="0" applyPatternFormats="0" applyAlignmentFormats="0" applyWidthHeightFormats="0">
  <queryTableRefresh nextId="16">
    <queryTableFields count="1">
      <queryTableField id="15" name="AtkDirType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A5779-B1EB-47B3-98C7-A51E6DC5370B}" name="ConfigTable" displayName="ConfigTable" ref="A1:B2" totalsRowShown="0">
  <autoFilter ref="A1:B2" xr:uid="{C8BA5779-B1EB-47B3-98C7-A51E6DC5370B}"/>
  <tableColumns count="2">
    <tableColumn id="1" xr3:uid="{C8F46464-C4B4-4832-8BD2-8FF38B915C69}" name="参数名"/>
    <tableColumn id="2" xr3:uid="{0B8E6D71-21DD-45CA-866C-6FA32EF1C5BE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025E0-1705-454C-91C8-3E84819698B8}" name="Sheet1" displayName="Sheet1" ref="A1:A6" tableType="queryTable" totalsRowShown="0">
  <autoFilter ref="A1:A6" xr:uid="{A12025E0-1705-454C-91C8-3E84819698B8}"/>
  <tableColumns count="1">
    <tableColumn id="15" xr3:uid="{A1AE2171-EFF1-472B-A062-7635C72F4714}" uniqueName="15" name="AtkDirTyp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opLeftCell="G1" workbookViewId="0">
      <selection activeCell="P10" sqref="P10"/>
    </sheetView>
  </sheetViews>
  <sheetFormatPr defaultColWidth="9" defaultRowHeight="14.25"/>
  <cols>
    <col min="2" max="2" width="29.125" customWidth="1"/>
    <col min="3" max="3" width="8.5" customWidth="1"/>
    <col min="4" max="4" width="13.875" customWidth="1"/>
    <col min="5" max="5" width="7.375" customWidth="1"/>
    <col min="6" max="7" width="16.625" customWidth="1"/>
    <col min="8" max="8" width="14.625" customWidth="1"/>
    <col min="9" max="9" width="13.5" customWidth="1"/>
    <col min="10" max="10" width="11" customWidth="1"/>
    <col min="11" max="11" width="17.875" customWidth="1"/>
    <col min="12" max="17" width="10.25" customWidth="1"/>
    <col min="18" max="18" width="5.5" customWidth="1"/>
    <col min="19" max="19" width="7" customWidth="1"/>
    <col min="20" max="20" width="11.125" customWidth="1"/>
    <col min="21" max="21" width="6.125" customWidth="1"/>
    <col min="22" max="22" width="7.375" customWidth="1"/>
    <col min="23" max="23" width="14.625" customWidth="1"/>
    <col min="24" max="24" width="12.125" customWidth="1"/>
    <col min="25" max="25" width="15.875" customWidth="1"/>
    <col min="26" max="26" width="23.625" customWidth="1"/>
    <col min="27" max="27" width="22.875" customWidth="1"/>
  </cols>
  <sheetData>
    <row r="1" spans="1:27" s="5" customFormat="1">
      <c r="A1" s="3" t="s">
        <v>0</v>
      </c>
      <c r="B1" s="3" t="s">
        <v>2</v>
      </c>
      <c r="C1" s="4" t="s">
        <v>7</v>
      </c>
      <c r="D1" s="5" t="s">
        <v>17</v>
      </c>
      <c r="E1" s="5" t="s">
        <v>18</v>
      </c>
      <c r="F1" s="5" t="s">
        <v>19</v>
      </c>
      <c r="G1" s="5" t="s">
        <v>75</v>
      </c>
      <c r="H1" s="5" t="s">
        <v>76</v>
      </c>
      <c r="I1" s="5" t="s">
        <v>20</v>
      </c>
      <c r="J1" s="5" t="s">
        <v>82</v>
      </c>
      <c r="K1" s="5" t="s">
        <v>43</v>
      </c>
      <c r="L1" s="9" t="s">
        <v>44</v>
      </c>
      <c r="M1" s="9"/>
      <c r="N1" s="9"/>
      <c r="O1" s="9"/>
      <c r="P1" s="9"/>
      <c r="Q1" s="9"/>
      <c r="R1" s="9"/>
      <c r="S1" s="9"/>
      <c r="T1" s="10" t="s">
        <v>40</v>
      </c>
      <c r="U1" s="11"/>
      <c r="V1" s="12"/>
      <c r="W1" s="5" t="s">
        <v>21</v>
      </c>
      <c r="X1" s="5" t="s">
        <v>22</v>
      </c>
      <c r="Y1" s="5" t="s">
        <v>23</v>
      </c>
      <c r="Z1" s="5" t="s">
        <v>41</v>
      </c>
      <c r="AA1" s="5" t="s">
        <v>24</v>
      </c>
    </row>
    <row r="2" spans="1:27" s="5" customFormat="1">
      <c r="A2" s="3" t="s">
        <v>3</v>
      </c>
      <c r="B2" s="3" t="s">
        <v>4</v>
      </c>
      <c r="C2" s="3" t="s">
        <v>5</v>
      </c>
      <c r="D2" s="5" t="s">
        <v>26</v>
      </c>
      <c r="E2" s="5" t="s">
        <v>26</v>
      </c>
      <c r="F2" s="5" t="s">
        <v>26</v>
      </c>
      <c r="G2" s="5" t="s">
        <v>26</v>
      </c>
      <c r="H2" s="5" t="s">
        <v>26</v>
      </c>
      <c r="I2" s="5" t="s">
        <v>26</v>
      </c>
      <c r="J2" s="5" t="s">
        <v>5</v>
      </c>
      <c r="K2" s="5" t="s">
        <v>28</v>
      </c>
      <c r="L2" s="10" t="s">
        <v>74</v>
      </c>
      <c r="M2" s="11"/>
      <c r="N2" s="11"/>
      <c r="O2" s="11"/>
      <c r="P2" s="11"/>
      <c r="Q2" s="11"/>
      <c r="R2" s="11"/>
      <c r="S2" s="12"/>
      <c r="T2" s="13" t="s">
        <v>42</v>
      </c>
      <c r="U2" s="14"/>
      <c r="V2" s="15"/>
      <c r="W2" s="5" t="s">
        <v>26</v>
      </c>
      <c r="X2" s="5" t="s">
        <v>26</v>
      </c>
      <c r="Y2" s="5" t="s">
        <v>26</v>
      </c>
      <c r="Z2" s="5" t="s">
        <v>26</v>
      </c>
      <c r="AA2" s="5" t="s">
        <v>26</v>
      </c>
    </row>
    <row r="3" spans="1:27" s="5" customFormat="1">
      <c r="A3" s="3" t="s">
        <v>0</v>
      </c>
      <c r="B3" s="3"/>
      <c r="C3" s="3"/>
      <c r="L3" s="5" t="s">
        <v>30</v>
      </c>
      <c r="M3" s="5" t="s">
        <v>63</v>
      </c>
      <c r="N3" s="5" t="s">
        <v>64</v>
      </c>
      <c r="O3" s="5" t="s">
        <v>67</v>
      </c>
      <c r="P3" s="5" t="s">
        <v>77</v>
      </c>
      <c r="Q3" s="5" t="s">
        <v>31</v>
      </c>
      <c r="T3" s="5" t="s">
        <v>39</v>
      </c>
      <c r="U3" s="5" t="s">
        <v>65</v>
      </c>
      <c r="V3" s="5" t="s">
        <v>66</v>
      </c>
    </row>
    <row r="4" spans="1:27" s="5" customFormat="1">
      <c r="A4" s="3" t="s">
        <v>0</v>
      </c>
      <c r="B4" s="3"/>
      <c r="C4" s="3"/>
      <c r="Q4" s="5">
        <v>0</v>
      </c>
      <c r="R4" s="5">
        <v>1</v>
      </c>
      <c r="S4" s="5">
        <v>2</v>
      </c>
    </row>
    <row r="5" spans="1:27" s="5" customFormat="1">
      <c r="A5" s="3" t="s">
        <v>6</v>
      </c>
      <c r="B5" s="3"/>
      <c r="C5" s="3"/>
    </row>
    <row r="6" spans="1:27" s="1" customFormat="1">
      <c r="A6"/>
      <c r="B6"/>
      <c r="C6"/>
    </row>
    <row r="7" spans="1:27" s="8" customFormat="1" ht="57" customHeight="1">
      <c r="A7" s="6" t="s">
        <v>1</v>
      </c>
      <c r="B7" s="6" t="s">
        <v>2</v>
      </c>
      <c r="C7" s="7" t="s">
        <v>27</v>
      </c>
      <c r="D7" s="8" t="s">
        <v>25</v>
      </c>
      <c r="E7" s="8" t="s">
        <v>9</v>
      </c>
      <c r="F7" s="8" t="s">
        <v>78</v>
      </c>
      <c r="G7" s="8" t="s">
        <v>79</v>
      </c>
      <c r="H7" s="8" t="s">
        <v>80</v>
      </c>
      <c r="I7" s="8" t="s">
        <v>29</v>
      </c>
      <c r="J7" s="8" t="s">
        <v>81</v>
      </c>
      <c r="K7" s="8" t="s">
        <v>8</v>
      </c>
      <c r="L7" s="8" t="s">
        <v>10</v>
      </c>
      <c r="T7" s="8" t="s">
        <v>11</v>
      </c>
      <c r="V7" s="8" t="s">
        <v>12</v>
      </c>
      <c r="W7" s="8" t="s">
        <v>13</v>
      </c>
      <c r="X7" s="8" t="s">
        <v>48</v>
      </c>
      <c r="Y7" s="8" t="s">
        <v>14</v>
      </c>
      <c r="Z7" s="8" t="s">
        <v>15</v>
      </c>
      <c r="AA7" s="8" t="s">
        <v>16</v>
      </c>
    </row>
    <row r="10" spans="1:27">
      <c r="B10">
        <v>1001</v>
      </c>
      <c r="C10" s="2" t="s">
        <v>32</v>
      </c>
      <c r="F10">
        <v>500</v>
      </c>
      <c r="K10" s="2" t="s">
        <v>45</v>
      </c>
      <c r="L10">
        <v>600</v>
      </c>
      <c r="Q10" s="2" t="s">
        <v>38</v>
      </c>
      <c r="R10" s="2"/>
      <c r="T10">
        <v>100</v>
      </c>
      <c r="U10">
        <v>7000</v>
      </c>
      <c r="V10">
        <v>0</v>
      </c>
      <c r="W10">
        <v>200</v>
      </c>
      <c r="X10">
        <v>3000</v>
      </c>
      <c r="Y10">
        <v>800</v>
      </c>
      <c r="Z10">
        <v>500</v>
      </c>
      <c r="AA10">
        <v>1000</v>
      </c>
    </row>
    <row r="11" spans="1:27">
      <c r="C11" s="2"/>
      <c r="Q11" s="2"/>
      <c r="R11" s="2"/>
      <c r="T11">
        <v>500</v>
      </c>
      <c r="U11">
        <v>0</v>
      </c>
      <c r="V11">
        <v>0</v>
      </c>
    </row>
    <row r="12" spans="1:27">
      <c r="B12">
        <v>1002</v>
      </c>
      <c r="C12" s="2" t="s">
        <v>33</v>
      </c>
      <c r="F12">
        <v>500</v>
      </c>
      <c r="K12" s="2" t="s">
        <v>45</v>
      </c>
      <c r="L12">
        <v>400</v>
      </c>
      <c r="Q12" s="2" t="s">
        <v>38</v>
      </c>
      <c r="R12" s="2"/>
      <c r="T12">
        <v>100</v>
      </c>
      <c r="U12">
        <v>7000</v>
      </c>
      <c r="V12">
        <v>0</v>
      </c>
      <c r="W12">
        <v>200</v>
      </c>
      <c r="X12">
        <v>3100</v>
      </c>
      <c r="Y12">
        <v>600</v>
      </c>
      <c r="Z12">
        <v>300</v>
      </c>
      <c r="AA12">
        <v>800</v>
      </c>
    </row>
    <row r="13" spans="1:27">
      <c r="C13" s="2"/>
      <c r="Q13" s="2"/>
      <c r="R13" s="2"/>
      <c r="T13">
        <v>400</v>
      </c>
      <c r="U13">
        <v>0</v>
      </c>
      <c r="V13">
        <v>0</v>
      </c>
    </row>
    <row r="14" spans="1:27">
      <c r="B14">
        <v>1003</v>
      </c>
      <c r="C14" s="2" t="s">
        <v>34</v>
      </c>
      <c r="F14">
        <v>500</v>
      </c>
      <c r="K14" s="2" t="s">
        <v>45</v>
      </c>
      <c r="L14">
        <v>450</v>
      </c>
      <c r="Q14" s="2" t="s">
        <v>58</v>
      </c>
      <c r="R14" s="2"/>
      <c r="T14">
        <v>100</v>
      </c>
      <c r="U14">
        <v>7000</v>
      </c>
      <c r="V14">
        <v>0</v>
      </c>
      <c r="W14">
        <v>200</v>
      </c>
      <c r="X14">
        <v>3500</v>
      </c>
      <c r="Y14">
        <v>600</v>
      </c>
      <c r="Z14">
        <v>300</v>
      </c>
      <c r="AA14">
        <v>800</v>
      </c>
    </row>
    <row r="15" spans="1:27">
      <c r="C15" s="2"/>
      <c r="Q15" s="2"/>
      <c r="R15" s="2"/>
      <c r="T15">
        <v>400</v>
      </c>
      <c r="U15">
        <v>0</v>
      </c>
      <c r="V15">
        <v>0</v>
      </c>
    </row>
    <row r="16" spans="1:27">
      <c r="B16">
        <v>1004</v>
      </c>
      <c r="C16" s="2" t="s">
        <v>35</v>
      </c>
      <c r="F16">
        <v>600</v>
      </c>
      <c r="G16">
        <v>800</v>
      </c>
      <c r="K16" s="2" t="s">
        <v>45</v>
      </c>
      <c r="L16">
        <v>1050</v>
      </c>
      <c r="Q16" s="2" t="s">
        <v>59</v>
      </c>
      <c r="R16" s="2"/>
      <c r="T16">
        <v>800</v>
      </c>
      <c r="U16">
        <v>7000</v>
      </c>
      <c r="V16">
        <v>0</v>
      </c>
      <c r="W16">
        <v>200</v>
      </c>
      <c r="X16">
        <v>2900</v>
      </c>
      <c r="Y16">
        <v>1200</v>
      </c>
      <c r="Z16">
        <v>800</v>
      </c>
      <c r="AA16">
        <v>1300</v>
      </c>
    </row>
    <row r="17" spans="2:27">
      <c r="C17" s="2"/>
      <c r="Q17" s="2"/>
      <c r="R17" s="2"/>
      <c r="T17">
        <v>1000</v>
      </c>
      <c r="U17">
        <v>0</v>
      </c>
      <c r="V17">
        <v>0</v>
      </c>
    </row>
    <row r="18" spans="2:27">
      <c r="B18">
        <v>1005</v>
      </c>
      <c r="C18" s="2" t="s">
        <v>36</v>
      </c>
      <c r="F18">
        <v>600</v>
      </c>
      <c r="G18">
        <v>850</v>
      </c>
      <c r="K18" s="2" t="s">
        <v>45</v>
      </c>
      <c r="L18">
        <v>1100</v>
      </c>
      <c r="Q18" s="2" t="s">
        <v>59</v>
      </c>
      <c r="R18" s="2"/>
      <c r="T18">
        <v>800</v>
      </c>
      <c r="U18">
        <v>7000</v>
      </c>
      <c r="V18">
        <v>0</v>
      </c>
      <c r="W18">
        <v>200</v>
      </c>
      <c r="X18">
        <v>3000</v>
      </c>
      <c r="Y18">
        <v>1300</v>
      </c>
      <c r="Z18">
        <v>900</v>
      </c>
      <c r="AA18">
        <v>1500</v>
      </c>
    </row>
    <row r="19" spans="2:27">
      <c r="C19" s="2"/>
      <c r="Q19" s="2"/>
      <c r="R19" s="2"/>
      <c r="T19">
        <v>1000</v>
      </c>
      <c r="U19">
        <v>0</v>
      </c>
      <c r="V19">
        <v>0</v>
      </c>
    </row>
    <row r="20" spans="2:27">
      <c r="B20">
        <v>1006</v>
      </c>
      <c r="C20" s="2" t="s">
        <v>37</v>
      </c>
      <c r="F20">
        <v>600</v>
      </c>
      <c r="G20">
        <v>900</v>
      </c>
      <c r="K20" s="2" t="s">
        <v>45</v>
      </c>
      <c r="L20">
        <v>1200</v>
      </c>
      <c r="Q20" s="2" t="s">
        <v>59</v>
      </c>
      <c r="R20" s="2"/>
      <c r="T20">
        <v>1100</v>
      </c>
      <c r="U20">
        <v>7000</v>
      </c>
      <c r="V20">
        <v>0</v>
      </c>
      <c r="W20">
        <v>200</v>
      </c>
      <c r="X20">
        <v>2150</v>
      </c>
      <c r="Y20">
        <v>1400</v>
      </c>
      <c r="Z20">
        <v>1000</v>
      </c>
      <c r="AA20">
        <v>1600</v>
      </c>
    </row>
    <row r="21" spans="2:27">
      <c r="T21">
        <v>1200</v>
      </c>
      <c r="U21">
        <v>0</v>
      </c>
      <c r="V21">
        <v>0</v>
      </c>
    </row>
    <row r="22" spans="2:27">
      <c r="B22">
        <v>1007</v>
      </c>
      <c r="C22" s="2" t="s">
        <v>46</v>
      </c>
      <c r="F22">
        <v>500</v>
      </c>
      <c r="K22" s="2" t="s">
        <v>45</v>
      </c>
      <c r="L22">
        <v>400</v>
      </c>
      <c r="Q22" s="2" t="s">
        <v>60</v>
      </c>
      <c r="R22" s="2"/>
      <c r="T22">
        <v>0</v>
      </c>
      <c r="U22">
        <v>10000</v>
      </c>
      <c r="V22">
        <v>0</v>
      </c>
      <c r="W22">
        <v>200</v>
      </c>
      <c r="X22">
        <v>5000</v>
      </c>
      <c r="Y22">
        <v>600</v>
      </c>
      <c r="Z22">
        <v>300</v>
      </c>
      <c r="AA22">
        <v>800</v>
      </c>
    </row>
    <row r="23" spans="2:27">
      <c r="C23" s="2"/>
      <c r="Q23" s="2"/>
      <c r="R23" s="2"/>
      <c r="T23">
        <v>400</v>
      </c>
      <c r="U23">
        <v>0</v>
      </c>
      <c r="V23">
        <v>0</v>
      </c>
    </row>
    <row r="24" spans="2:27">
      <c r="B24">
        <v>1008</v>
      </c>
      <c r="C24" s="2" t="s">
        <v>47</v>
      </c>
      <c r="F24">
        <v>600</v>
      </c>
      <c r="G24">
        <v>900</v>
      </c>
      <c r="K24" s="2" t="s">
        <v>45</v>
      </c>
      <c r="L24">
        <v>1200</v>
      </c>
      <c r="Q24" s="2" t="s">
        <v>59</v>
      </c>
      <c r="R24" s="2"/>
      <c r="T24">
        <v>1000</v>
      </c>
      <c r="U24">
        <v>3000</v>
      </c>
      <c r="V24">
        <v>0</v>
      </c>
      <c r="W24">
        <v>200</v>
      </c>
      <c r="X24">
        <v>4150</v>
      </c>
      <c r="Y24">
        <v>1400</v>
      </c>
      <c r="Z24">
        <v>1000</v>
      </c>
      <c r="AA24">
        <v>1600</v>
      </c>
    </row>
    <row r="25" spans="2:27">
      <c r="T25">
        <v>1200</v>
      </c>
      <c r="U25">
        <v>0</v>
      </c>
      <c r="V25">
        <v>0</v>
      </c>
    </row>
    <row r="26" spans="2:27">
      <c r="B26">
        <v>1009</v>
      </c>
      <c r="C26" s="2" t="s">
        <v>49</v>
      </c>
      <c r="F26">
        <v>0</v>
      </c>
      <c r="L26">
        <v>50</v>
      </c>
      <c r="Q26" s="2" t="s">
        <v>56</v>
      </c>
      <c r="T26">
        <v>0</v>
      </c>
      <c r="U26">
        <v>0</v>
      </c>
      <c r="V26">
        <v>0</v>
      </c>
      <c r="W26">
        <v>0</v>
      </c>
      <c r="X26">
        <v>1500</v>
      </c>
      <c r="Y26">
        <v>400</v>
      </c>
      <c r="Z26">
        <v>200</v>
      </c>
      <c r="AA26">
        <v>500</v>
      </c>
    </row>
    <row r="28" spans="2:27">
      <c r="B28">
        <v>1010</v>
      </c>
      <c r="C28" s="2" t="s">
        <v>57</v>
      </c>
      <c r="F28">
        <v>0</v>
      </c>
      <c r="K28" s="2" t="s">
        <v>45</v>
      </c>
      <c r="L28">
        <v>400</v>
      </c>
      <c r="Q28" s="2" t="s">
        <v>58</v>
      </c>
      <c r="T28">
        <v>100</v>
      </c>
      <c r="U28">
        <v>3000</v>
      </c>
      <c r="V28">
        <v>0</v>
      </c>
      <c r="W28">
        <v>200</v>
      </c>
      <c r="X28">
        <v>2000</v>
      </c>
      <c r="Y28">
        <v>500</v>
      </c>
      <c r="Z28">
        <v>200</v>
      </c>
      <c r="AA28">
        <v>700</v>
      </c>
    </row>
    <row r="29" spans="2:27">
      <c r="T29">
        <v>300</v>
      </c>
      <c r="U29">
        <v>0</v>
      </c>
      <c r="V29">
        <v>0</v>
      </c>
    </row>
    <row r="31" spans="2:27">
      <c r="B31">
        <v>1011</v>
      </c>
      <c r="C31" t="s">
        <v>61</v>
      </c>
      <c r="F31">
        <v>0</v>
      </c>
      <c r="K31" s="2" t="s">
        <v>45</v>
      </c>
      <c r="L31">
        <v>400</v>
      </c>
      <c r="Q31" s="2" t="s">
        <v>58</v>
      </c>
      <c r="T31">
        <v>100</v>
      </c>
      <c r="U31">
        <v>3000</v>
      </c>
      <c r="V31">
        <v>0</v>
      </c>
      <c r="W31">
        <v>200</v>
      </c>
      <c r="X31">
        <v>2000</v>
      </c>
      <c r="Y31">
        <v>1100</v>
      </c>
      <c r="Z31">
        <v>1300</v>
      </c>
      <c r="AA31">
        <v>700</v>
      </c>
    </row>
    <row r="32" spans="2:27">
      <c r="L32">
        <v>800</v>
      </c>
      <c r="Q32" s="2" t="s">
        <v>62</v>
      </c>
      <c r="T32">
        <v>300</v>
      </c>
      <c r="U32">
        <v>0</v>
      </c>
      <c r="V32">
        <v>0</v>
      </c>
    </row>
    <row r="33" spans="12:17">
      <c r="L33">
        <v>900</v>
      </c>
      <c r="Q33" s="2" t="s">
        <v>62</v>
      </c>
    </row>
    <row r="34" spans="12:17">
      <c r="L34">
        <v>1000</v>
      </c>
      <c r="Q34" s="2" t="s">
        <v>56</v>
      </c>
    </row>
  </sheetData>
  <mergeCells count="4">
    <mergeCell ref="L1:S1"/>
    <mergeCell ref="L2:S2"/>
    <mergeCell ref="T1:V1"/>
    <mergeCell ref="T2:V2"/>
  </mergeCells>
  <phoneticPr fontId="2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273C62-4F05-431B-B5D9-05D8DD2213E8}">
          <x14:formula1>
            <xm:f>AtkDir!$A:$A</xm:f>
          </x14:formula1>
          <xm:sqref>P8:P37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7006-C011-2746-A0BD-C156E2F2C121}">
  <dimension ref="A1:B2"/>
  <sheetViews>
    <sheetView tabSelected="1" workbookViewId="0">
      <selection activeCell="I21" sqref="I21"/>
    </sheetView>
  </sheetViews>
  <sheetFormatPr defaultColWidth="11" defaultRowHeight="14.25"/>
  <sheetData>
    <row r="1" spans="1:2">
      <c r="A1" t="s">
        <v>83</v>
      </c>
      <c r="B1" t="s">
        <v>84</v>
      </c>
    </row>
    <row r="2" spans="1:2">
      <c r="A2" t="s">
        <v>85</v>
      </c>
      <c r="B2" t="str" cm="1">
        <f t="array" aca="1" ref="B2" ca="1">LEFT(CELL("filename",$A$1),FIND("[",CELL("filename",$A$1))-1)&amp;"__enums__.xlsx"</f>
        <v>C:\workSpace\GameP\Tools\ExcelConfig\ExcelTables\__enums__.xlsx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9ADF-84A0-4FF6-98E5-5A372AC53A03}">
  <dimension ref="A1:A6"/>
  <sheetViews>
    <sheetView workbookViewId="0">
      <selection activeCell="C19" sqref="C19"/>
    </sheetView>
  </sheetViews>
  <sheetFormatPr defaultRowHeight="14.25"/>
  <cols>
    <col min="1" max="1" width="12.5" bestFit="1" customWidth="1"/>
    <col min="2" max="2" width="8.375" bestFit="1" customWidth="1"/>
    <col min="3" max="3" width="15.5" bestFit="1" customWidth="1"/>
    <col min="4" max="4" width="7.875" bestFit="1" customWidth="1"/>
    <col min="5" max="5" width="19" bestFit="1" customWidth="1"/>
    <col min="6" max="6" width="81" bestFit="1" customWidth="1"/>
    <col min="7" max="7" width="14.125" bestFit="1" customWidth="1"/>
    <col min="8" max="8" width="8.125" bestFit="1" customWidth="1"/>
    <col min="9" max="9" width="10.875" bestFit="1" customWidth="1"/>
    <col min="10" max="10" width="6.375" bestFit="1" customWidth="1"/>
    <col min="11" max="11" width="15.5" bestFit="1" customWidth="1"/>
    <col min="12" max="12" width="10.5" bestFit="1" customWidth="1"/>
    <col min="13" max="13" width="14.375" bestFit="1" customWidth="1"/>
    <col min="14" max="15" width="11.5" bestFit="1" customWidth="1"/>
  </cols>
  <sheetData>
    <row r="1" spans="1:1">
      <c r="A1" t="s">
        <v>68</v>
      </c>
    </row>
    <row r="2" spans="1:1">
      <c r="A2" t="s">
        <v>69</v>
      </c>
    </row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A2B16-BE47-DA45-820C-8D2230BA4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Config</vt:lpstr>
      <vt:lpstr>AtkDir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2025-12-12T02:30:49Z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