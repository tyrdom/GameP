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Space\GameP\Tools\ExcelConfig\ExcelTables\"/>
    </mc:Choice>
  </mc:AlternateContent>
  <xr:revisionPtr revIDLastSave="0" documentId="13_ncr:1_{BA09B58A-6BE8-4F96-A3E6-09DC4D9A4F0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EffectType" sheetId="4" r:id="rId2"/>
    <sheet name="Config" sheetId="10" r:id="rId3"/>
  </sheets>
  <definedNames>
    <definedName name="ExternalData_1" localSheetId="1" hidden="1">EffectType!$A$1:$A$7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F2B20-0774-1649-993B-F02C1B481819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<sst xmlns="http://schemas.openxmlformats.org/spreadsheetml/2006/main" count="64" uniqueCount="48">
  <si>
    <t>##var</t>
  </si>
  <si>
    <t>##</t>
  </si>
  <si>
    <t>id</t>
  </si>
  <si>
    <t>##type</t>
  </si>
  <si>
    <t>int</t>
  </si>
  <si>
    <t>string</t>
  </si>
  <si>
    <t>##group</t>
  </si>
  <si>
    <t>EffectType</t>
  </si>
  <si>
    <t>Lock</t>
  </si>
  <si>
    <t>StandardDamage</t>
  </si>
  <si>
    <t>Push</t>
  </si>
  <si>
    <t>Pull</t>
  </si>
  <si>
    <t>Caught</t>
  </si>
  <si>
    <t>说明</t>
    <phoneticPr fontId="2" type="noConversion"/>
  </si>
  <si>
    <t>EnumPath</t>
  </si>
  <si>
    <t>参数名</t>
  </si>
  <si>
    <t>参数值</t>
  </si>
  <si>
    <t>Undefine</t>
  </si>
  <si>
    <t>alias</t>
  </si>
  <si>
    <t>resPath</t>
  </si>
  <si>
    <t>weightParam</t>
  </si>
  <si>
    <t>name</t>
  </si>
  <si>
    <t>MaxHp</t>
  </si>
  <si>
    <t>LessHpRate</t>
  </si>
  <si>
    <t>MaxGp</t>
  </si>
  <si>
    <t>LessGpRate</t>
  </si>
  <si>
    <t>GpRegPerSec</t>
  </si>
  <si>
    <t>GpRegDelayTime</t>
  </si>
  <si>
    <t>MaxSp</t>
  </si>
  <si>
    <t>LessSpRate</t>
  </si>
  <si>
    <t>SpRegPerSec</t>
  </si>
  <si>
    <t>SpRegDelayTime</t>
  </si>
  <si>
    <t>BaseAtk</t>
  </si>
  <si>
    <t>MoveSpeed</t>
  </si>
  <si>
    <t>c</t>
  </si>
  <si>
    <t>名称</t>
  </si>
  <si>
    <t>质量参数</t>
  </si>
  <si>
    <t>Hp最大值</t>
  </si>
  <si>
    <t>Hp缺乏刻度万份比</t>
  </si>
  <si>
    <t>Gp最大值</t>
  </si>
  <si>
    <t>Gp缺乏刻度万份比</t>
  </si>
  <si>
    <t>Sp最大值</t>
  </si>
  <si>
    <t>Sp缺乏刻度万份比</t>
  </si>
  <si>
    <t>基础攻击</t>
  </si>
  <si>
    <t>移动速度</t>
  </si>
  <si>
    <t>test1</t>
  </si>
  <si>
    <t>test2</t>
  </si>
  <si>
    <t>creepL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</si>
</sst>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78BF05-676B-014F-A28C-7D5351EF0F9B}" autoFormatId="16" applyNumberFormats="0" applyBorderFormats="0" applyFontFormats="0" applyPatternFormats="0" applyAlignmentFormats="0" applyWidthHeightFormats="0">
  <queryTableRefresh nextId="31">
    <queryTableFields count="1">
      <queryTableField id="30" name="EffectTyp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0BD9A-DE58-B84F-AEED-5AF37791C432}" name="Sheet1" displayName="Sheet1" ref="A1:A7" tableType="queryTable" totalsRowShown="0">
  <autoFilter ref="A1:A7" xr:uid="{4ED0BD9A-DE58-B84F-AEED-5AF37791C432}"/>
  <tableColumns count="1">
    <tableColumn id="2" xr3:uid="{BE343402-1F6D-4E7E-904F-7DCFD4CAA3EC}" uniqueName="2" name="EffectType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52F8C-32DC-4F53-861D-06C240E5EA86}" name="ConfigTable" displayName="ConfigTable" ref="A1:B2" totalsRowShown="0">
  <autoFilter ref="A1:B2" xr:uid="{E4952F8C-32DC-4F53-861D-06C240E5EA86}"/>
  <tableColumns count="2">
    <tableColumn id="1" xr3:uid="{B2A2C066-A6F5-432B-8B8F-0AA3655D77C7}" name="参数名"/>
    <tableColumn id="2" xr3:uid="{06A18487-10AE-4680-9E5E-6E81FE90910F}" name="参数值">
      <calculatedColumnFormula array="1">LEFT(CELL("filename",$A$1),FIND("[",CELL("filename",$A$1))-1)&amp;"__enums__.xlsx"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workbookViewId="0">
      <selection activeCell="A10" sqref="A10:XFD19"/>
    </sheetView>
  </sheetViews>
  <sheetFormatPr defaultColWidth="9" defaultRowHeight="14.25"/>
  <cols>
    <col min="2" max="2" width="10.125" customWidth="1"/>
    <col min="3" max="3" width="15.875" customWidth="1"/>
    <col min="4" max="4" width="12.625" customWidth="1"/>
    <col min="5" max="5" width="17.5" customWidth="1"/>
    <col min="6" max="6" width="11" bestFit="1" customWidth="1"/>
    <col min="7" max="8" width="8.375" customWidth="1"/>
    <col min="9" max="18" width="10.125" customWidth="1"/>
  </cols>
  <sheetData>
    <row r="1" spans="1:27" s="1" customFormat="1">
      <c r="A1" t="s">
        <v>0</v>
      </c>
      <c r="B1" t="s">
        <v>2</v>
      </c>
      <c r="C1" s="2" t="s">
        <v>18</v>
      </c>
      <c r="D1" s="2" t="s">
        <v>19</v>
      </c>
      <c r="E1" s="2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27" s="1" customFormat="1">
      <c r="A2" t="s">
        <v>3</v>
      </c>
      <c r="B2" t="s">
        <v>4</v>
      </c>
      <c r="C2" t="s">
        <v>5</v>
      </c>
      <c r="D2" t="s">
        <v>5</v>
      </c>
      <c r="E2" s="2" t="s">
        <v>4</v>
      </c>
      <c r="F2" s="1" t="s">
        <v>5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</row>
    <row r="3" spans="1:27" s="1" customFormat="1">
      <c r="A3" t="s">
        <v>6</v>
      </c>
      <c r="B3"/>
      <c r="C3"/>
      <c r="D3" t="s">
        <v>34</v>
      </c>
      <c r="E3" s="2"/>
      <c r="S3" s="1">
        <v>13</v>
      </c>
      <c r="T3" s="1">
        <v>14</v>
      </c>
      <c r="U3" s="1">
        <v>15</v>
      </c>
      <c r="V3" s="1">
        <v>16</v>
      </c>
      <c r="W3" s="1">
        <v>17</v>
      </c>
      <c r="X3" s="1">
        <v>18</v>
      </c>
      <c r="Y3" s="1">
        <v>19</v>
      </c>
      <c r="Z3" s="1">
        <v>20</v>
      </c>
      <c r="AA3" s="1">
        <v>21</v>
      </c>
    </row>
    <row r="4" spans="1:27" s="1" customFormat="1">
      <c r="A4" t="s">
        <v>1</v>
      </c>
      <c r="B4" t="s">
        <v>2</v>
      </c>
      <c r="C4"/>
      <c r="D4" t="s">
        <v>35</v>
      </c>
      <c r="E4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M4" s="1" t="s">
        <v>41</v>
      </c>
      <c r="N4" s="1" t="s">
        <v>42</v>
      </c>
      <c r="Q4" s="1" t="s">
        <v>43</v>
      </c>
      <c r="R4" s="1" t="s">
        <v>44</v>
      </c>
    </row>
    <row r="5" spans="1:27">
      <c r="C5" s="2"/>
      <c r="E5" s="2"/>
      <c r="F5" s="2"/>
    </row>
    <row r="6" spans="1:27">
      <c r="B6">
        <v>1001</v>
      </c>
      <c r="C6" s="2" t="s">
        <v>45</v>
      </c>
      <c r="D6" s="2"/>
      <c r="E6">
        <v>70</v>
      </c>
      <c r="G6">
        <v>100</v>
      </c>
      <c r="H6">
        <v>7500</v>
      </c>
      <c r="I6">
        <v>150</v>
      </c>
      <c r="J6">
        <v>8500</v>
      </c>
      <c r="K6">
        <v>10</v>
      </c>
      <c r="L6">
        <v>2000</v>
      </c>
      <c r="M6">
        <v>80</v>
      </c>
      <c r="N6">
        <v>8000</v>
      </c>
      <c r="O6">
        <v>5</v>
      </c>
      <c r="P6">
        <v>2000</v>
      </c>
      <c r="Q6">
        <v>30</v>
      </c>
      <c r="R6">
        <v>8000</v>
      </c>
    </row>
    <row r="7" spans="1:27">
      <c r="B7">
        <v>1002</v>
      </c>
      <c r="C7" s="2" t="s">
        <v>46</v>
      </c>
      <c r="D7" s="2"/>
      <c r="E7">
        <v>70</v>
      </c>
      <c r="G7">
        <v>100</v>
      </c>
      <c r="H7">
        <v>7500</v>
      </c>
      <c r="I7">
        <v>150</v>
      </c>
      <c r="J7">
        <v>8500</v>
      </c>
      <c r="K7">
        <v>10</v>
      </c>
      <c r="L7">
        <v>2000</v>
      </c>
      <c r="M7">
        <v>80</v>
      </c>
      <c r="N7">
        <v>8000</v>
      </c>
      <c r="O7">
        <v>5</v>
      </c>
      <c r="P7">
        <v>2000</v>
      </c>
      <c r="Q7">
        <v>30</v>
      </c>
      <c r="R7">
        <v>8000</v>
      </c>
    </row>
    <row r="8" spans="1:27">
      <c r="C8" s="2"/>
      <c r="D8" s="2"/>
    </row>
    <row r="9" spans="1:27">
      <c r="B9">
        <v>2001</v>
      </c>
      <c r="C9" s="2" t="s">
        <v>47</v>
      </c>
      <c r="D9" s="2"/>
      <c r="E9">
        <v>70</v>
      </c>
      <c r="G9">
        <v>10</v>
      </c>
      <c r="H9">
        <v>7500</v>
      </c>
      <c r="I9">
        <v>15</v>
      </c>
      <c r="J9">
        <v>8500</v>
      </c>
      <c r="K9">
        <v>10</v>
      </c>
      <c r="L9">
        <v>2000</v>
      </c>
      <c r="M9">
        <v>10</v>
      </c>
      <c r="N9">
        <v>8000</v>
      </c>
      <c r="O9">
        <v>5</v>
      </c>
      <c r="P9">
        <v>2000</v>
      </c>
      <c r="Q9">
        <v>30</v>
      </c>
      <c r="R9">
        <v>8000</v>
      </c>
    </row>
    <row r="10" spans="1:27">
      <c r="C10" s="2"/>
      <c r="D10" s="2"/>
    </row>
    <row r="11" spans="1:27">
      <c r="C11" s="2"/>
      <c r="D11" s="2"/>
    </row>
    <row r="12" spans="1:27">
      <c r="C12" s="2"/>
      <c r="D12" s="2"/>
    </row>
    <row r="13" spans="1:27">
      <c r="C13" s="2"/>
      <c r="D13" s="2"/>
    </row>
    <row r="14" spans="1:27">
      <c r="C14" s="2"/>
      <c r="D14" s="2"/>
    </row>
    <row r="15" spans="1:27">
      <c r="C15" s="2"/>
      <c r="D15" s="2"/>
    </row>
  </sheetData>
  <phoneticPr fontId="2" type="noConversion"/>
  <dataValidations count="1">
    <dataValidation type="list" allowBlank="1" showInputMessage="1" showErrorMessage="1" sqref="E6:E27" xr:uid="{F736C139-0FF0-3547-9842-F4CD49023A35}">
      <formula1>#REF!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2C7CE1-C305-4962-988F-86E42C7FD77A}">
          <x14:formula1>
            <xm:f>EffectType!$A:$A</xm:f>
          </x14:formula1>
          <xm:sqref>C6:C21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B9C-7E5A-674A-9D98-D22C72AA8EEE}">
  <dimension ref="A1:Y7"/>
  <sheetViews>
    <sheetView workbookViewId="0">
      <selection activeCell="X20" sqref="A1:XFD1048576"/>
    </sheetView>
  </sheetViews>
  <sheetFormatPr defaultColWidth="11" defaultRowHeight="14.25"/>
  <cols>
    <col min="1" max="2" width="15.5" bestFit="1" customWidth="1"/>
    <col min="3" max="3" width="12.75" customWidth="1"/>
    <col min="4" max="4" width="21" customWidth="1"/>
    <col min="5" max="5" width="14.125" bestFit="1" customWidth="1"/>
    <col min="6" max="6" width="8.125" bestFit="1" customWidth="1"/>
    <col min="7" max="7" width="10.875" bestFit="1" customWidth="1"/>
    <col min="8" max="8" width="6.375" bestFit="1" customWidth="1"/>
    <col min="9" max="9" width="15.5" bestFit="1" customWidth="1"/>
    <col min="10" max="10" width="10.5" bestFit="1" customWidth="1"/>
    <col min="11" max="11" width="14.375" bestFit="1" customWidth="1"/>
    <col min="12" max="13" width="11.5" bestFit="1" customWidth="1"/>
    <col min="14" max="16" width="12" bestFit="1" customWidth="1"/>
    <col min="17" max="17" width="16.375" bestFit="1" customWidth="1"/>
    <col min="18" max="18" width="12" bestFit="1" customWidth="1"/>
    <col min="19" max="19" width="15.375" bestFit="1" customWidth="1"/>
    <col min="20" max="21" width="13" bestFit="1" customWidth="1"/>
  </cols>
  <sheetData>
    <row r="1" spans="1:25">
      <c r="A1" t="s">
        <v>7</v>
      </c>
      <c r="B1" s="2" t="s">
        <v>13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 spans="1:25">
      <c r="A2" t="s">
        <v>17</v>
      </c>
      <c r="B2" s="2"/>
    </row>
    <row r="3" spans="1:25">
      <c r="A3" t="s">
        <v>9</v>
      </c>
      <c r="C3" s="2"/>
      <c r="D3" s="2"/>
    </row>
    <row r="4" spans="1:25">
      <c r="A4" t="s">
        <v>10</v>
      </c>
      <c r="C4" s="2"/>
      <c r="D4" s="2"/>
      <c r="E4" s="2"/>
      <c r="F4" s="2"/>
    </row>
    <row r="5" spans="1:25">
      <c r="A5" t="s">
        <v>11</v>
      </c>
      <c r="C5" s="2"/>
      <c r="D5" s="2"/>
      <c r="E5" s="2"/>
      <c r="F5" s="2"/>
      <c r="G5" s="2"/>
      <c r="H5" s="2"/>
    </row>
    <row r="6" spans="1:25">
      <c r="A6" t="s">
        <v>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t="s">
        <v>8</v>
      </c>
      <c r="C7" s="2"/>
      <c r="D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A71-64E0-432B-AE69-EA17CFBC88F3}">
  <dimension ref="A1:B2"/>
  <sheetViews>
    <sheetView workbookViewId="0">
      <selection activeCell="D14" sqref="D14"/>
    </sheetView>
  </sheetViews>
  <sheetFormatPr defaultRowHeight="14.25"/>
  <sheetData>
    <row r="1" spans="1:2">
      <c r="A1" t="s">
        <v>15</v>
      </c>
      <c r="B1" t="s">
        <v>16</v>
      </c>
    </row>
    <row r="2" spans="1:2">
      <c r="A2" t="s">
        <v>14</v>
      </c>
      <c r="B2" t="str" cm="1">
        <f t="array" aca="1" ref="B2" ca="1">LEFT(CELL("filename",$A$1),FIND("[",CELL("filename",$A$1))-1)&amp;"__enums__.xlsx"</f>
        <v>C:\workSpace\GameP\Tools\ExcelConfig\ExcelTables\__enums__.xlsx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F0F06-A15A-1241-991E-2280C2322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EffectType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2025-12-12T03:12:58Z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