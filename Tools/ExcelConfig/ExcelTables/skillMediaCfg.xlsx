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110"/>
  <workbookPr/>
  <mc:AlternateContent xmlns:mc="http://schemas.openxmlformats.org/markup-compatibility/2006">
    <mc:Choice Requires="x15">
      <x15ac:absPath xmlns:x15ac="http://schemas.microsoft.com/office/spreadsheetml/2010/11/ac" url="/Volumes/OneTb/GameP/Tools/ExcelConfig/ExcelTables/"/>
    </mc:Choice>
  </mc:AlternateContent>
  <xr:revisionPtr revIDLastSave="0" documentId="13_ncr:1_{5A5A445A-B05B-4A4C-88B8-072647A5B762}" xr6:coauthVersionLast="47" xr6:coauthVersionMax="47" xr10:uidLastSave="{00000000-0000-0000-0000-000000000000}"/>
  <bookViews>
    <workbookView xWindow="1160" yWindow="2540" windowWidth="31620" windowHeight="17640" xr2:uid="{00000000-000D-0000-FFFF-FFFF00000000}"/>
  </bookViews>
  <sheets>
    <sheet name="Sheet1" sheetId="1" r:id="rId1"/>
    <sheet name="Sheet3" sheetId="5" r:id="rId2"/>
    <sheet name="Sheet1 (2)" sheetId="3" r:id="rId3"/>
  </sheets>
  <definedNames>
    <definedName name="ExternalData_1" localSheetId="2" hidden="1">'Sheet1 (2)'!$A$1:$L$84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" i="5" l="1" a="1"/>
  <c r="F1" i="5" s="1"/>
  <c r="C1" i="5" a="1"/>
  <c r="C1" i="5" s="1"/>
  <c r="A1" i="5" a="1"/>
  <c r="A1" i="5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1A9E1E-D90A-7F44-88F4-22C85351D1FC}" keepAlive="1" name="查询 - Sheet1" description="与工作簿中“Sheet1”查询的连接。" type="5" refreshedVersion="8" background="1" saveData="1">
    <dbPr connection="Provider=Microsoft.Mashup.OleDb.1;Data Source=$Workbook$;Location=Sheet1;Extended Properties=&quot;&quot;" command="SELECT * FROM [Sheet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<sst xmlns="http://schemas.openxmlformats.org/spreadsheetml/2006/main" count="221" uniqueCount="163">
  <si>
    <t>##var</t>
  </si>
  <si>
    <t>##</t>
  </si>
  <si>
    <t>id</t>
  </si>
  <si>
    <t>name</t>
  </si>
  <si>
    <t>##type</t>
  </si>
  <si>
    <t>int</t>
  </si>
  <si>
    <t>string</t>
  </si>
  <si>
    <t>##group</t>
  </si>
  <si>
    <t>名称</t>
  </si>
  <si>
    <t>alias</t>
  </si>
  <si>
    <t>alias</t>
    <phoneticPr fontId="2" type="noConversion"/>
  </si>
  <si>
    <t>Skill2Act</t>
  </si>
  <si>
    <t>Skill3Act</t>
  </si>
  <si>
    <t>Skill4Act</t>
  </si>
  <si>
    <t>Skill5Act</t>
  </si>
  <si>
    <t>IdleOrWalk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</si>
  <si>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</si>
  <si>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</si>
  <si>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</si>
  <si>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</si>
  <si>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</si>
  <si>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</si>
  <si>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</si>
  <si>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</si>
  <si>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</si>
  <si>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</si>
  <si>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</si>
  <si>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</si>
  <si>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full_name</t>
  </si>
  <si>
    <t>flags</t>
  </si>
  <si>
    <t>unique</t>
  </si>
  <si>
    <t>group</t>
  </si>
  <si>
    <t>comment</t>
  </si>
  <si>
    <t>tags</t>
  </si>
  <si>
    <t>*items</t>
  </si>
  <si>
    <t>value</t>
  </si>
  <si>
    <t>全名(包含模块和名字)</t>
  </si>
  <si>
    <t>是否为标志类（即每个枚举项为位标记，例如System.IO.FileMode,填数据时可以为READ|WRITE这样)</t>
  </si>
  <si>
    <t>枚举项是否唯一</t>
  </si>
  <si>
    <t>枚举名</t>
  </si>
  <si>
    <t>别名</t>
  </si>
  <si>
    <t>值</t>
  </si>
  <si>
    <t>注释</t>
  </si>
  <si>
    <t>test.ETestQuality</t>
  </si>
  <si>
    <t>A</t>
  </si>
  <si>
    <t>白</t>
  </si>
  <si>
    <t>最高品质</t>
  </si>
  <si>
    <t>B</t>
  </si>
  <si>
    <t>黑</t>
  </si>
  <si>
    <t>黑色的</t>
  </si>
  <si>
    <t>C</t>
  </si>
  <si>
    <t>蓝</t>
  </si>
  <si>
    <t>蓝色的</t>
  </si>
  <si>
    <t>D</t>
  </si>
  <si>
    <t>红</t>
  </si>
  <si>
    <t>最差品质</t>
  </si>
  <si>
    <t>test.AccessFlag</t>
  </si>
  <si>
    <t>WRITE</t>
  </si>
  <si>
    <t>READ</t>
  </si>
  <si>
    <t>TRUNCATE</t>
  </si>
  <si>
    <t>NEW</t>
  </si>
  <si>
    <t>READ_WRITE</t>
  </si>
  <si>
    <t>WRITE|READ</t>
  </si>
  <si>
    <t>Undefine</t>
  </si>
  <si>
    <t>Run</t>
  </si>
  <si>
    <t>Skill1Act</t>
  </si>
  <si>
    <t>OnBadParry</t>
  </si>
  <si>
    <t>OpAct</t>
  </si>
  <si>
    <t>OpAct1</t>
  </si>
  <si>
    <t>OpAct2</t>
  </si>
  <si>
    <t>OpAct3</t>
  </si>
  <si>
    <t>OpAct4</t>
  </si>
  <si>
    <t>Release</t>
  </si>
  <si>
    <t>ColliderShape</t>
  </si>
  <si>
    <t>Box</t>
  </si>
  <si>
    <t>Sector</t>
  </si>
  <si>
    <t>Line</t>
  </si>
  <si>
    <t>SphereCast</t>
  </si>
  <si>
    <t>Skill1Parry</t>
  </si>
  <si>
    <t>Skill2Parry</t>
  </si>
  <si>
    <t>Skill3Parry</t>
  </si>
  <si>
    <t>Skill4Parry</t>
  </si>
  <si>
    <t>Skill5Parry</t>
  </si>
  <si>
    <t>Skill1Dodge</t>
  </si>
  <si>
    <t>Skill2Dodge</t>
  </si>
  <si>
    <t>Skill3Dodge</t>
  </si>
  <si>
    <t>Skill4Dodge</t>
  </si>
  <si>
    <t>Skill5Dodge</t>
  </si>
  <si>
    <t>OnDash</t>
  </si>
  <si>
    <t>standardLockMedia</t>
    <phoneticPr fontId="2" type="noConversion"/>
  </si>
  <si>
    <t>ColliderShape</t>
    <phoneticPr fontId="2" type="noConversion"/>
  </si>
  <si>
    <t>colliderShapeType</t>
    <phoneticPr fontId="2" type="noConversion"/>
  </si>
  <si>
    <t>colliderParam</t>
    <phoneticPr fontId="2" type="noConversion"/>
  </si>
  <si>
    <t>list,int</t>
    <phoneticPr fontId="2" type="noConversion"/>
  </si>
  <si>
    <t>list,string</t>
    <phoneticPr fontId="2" type="noConversion"/>
  </si>
  <si>
    <t>ActStatus</t>
  </si>
  <si>
    <t>EffectType</t>
  </si>
  <si>
    <t>StandardDamage</t>
  </si>
  <si>
    <t>Push</t>
  </si>
  <si>
    <t>Pull</t>
  </si>
  <si>
    <t>Caught</t>
  </si>
  <si>
    <t>Lock</t>
  </si>
  <si>
    <t>standardLock</t>
    <phoneticPr fontId="2" type="noConversion"/>
  </si>
  <si>
    <t>standardM1</t>
    <phoneticPr fontId="2" type="noConversion"/>
  </si>
  <si>
    <t>standardM2</t>
    <phoneticPr fontId="2" type="noConversion"/>
  </si>
  <si>
    <t>*effectAlias</t>
    <phoneticPr fontId="2" type="noConversion"/>
  </si>
  <si>
    <t>TargetTypeTag</t>
  </si>
  <si>
    <t>TargetTypeTag</t>
    <phoneticPr fontId="2" type="noConversion"/>
  </si>
  <si>
    <t>OnCatchAtk</t>
  </si>
  <si>
    <t>SpawnType</t>
  </si>
  <si>
    <t>Creep</t>
  </si>
  <si>
    <t>Boss</t>
  </si>
  <si>
    <t>Self</t>
  </si>
  <si>
    <t>OtherAlly</t>
  </si>
  <si>
    <t>Enemy</t>
  </si>
  <si>
    <t>AllOther</t>
  </si>
  <si>
    <t>OtherAlly|Enemy</t>
  </si>
  <si>
    <t>standardM3</t>
    <phoneticPr fontId="2" type="noConversion"/>
  </si>
  <si>
    <t>targetType</t>
    <phoneticPr fontId="2" type="noConversion"/>
  </si>
  <si>
    <t>hitGapTime</t>
    <phoneticPr fontId="2" type="noConversion"/>
  </si>
  <si>
    <t>int</t>
    <phoneticPr fontId="2" type="noConversion"/>
  </si>
  <si>
    <t>类型</t>
    <phoneticPr fontId="2" type="noConversion"/>
  </si>
  <si>
    <t>参数1</t>
    <phoneticPr fontId="2" type="noConversion"/>
  </si>
  <si>
    <t>参数2</t>
    <phoneticPr fontId="2" type="noConversion"/>
  </si>
  <si>
    <t>最大次数(每次无上限）</t>
    <phoneticPr fontId="2" type="noConversion"/>
  </si>
  <si>
    <t>间隔时间</t>
    <phoneticPr fontId="2" type="noConversion"/>
  </si>
  <si>
    <t>standardRB</t>
    <phoneticPr fontId="2" type="noConversion"/>
  </si>
  <si>
    <t>list,MovementChangeCfg</t>
    <phoneticPr fontId="4" type="noConversion"/>
  </si>
  <si>
    <t>changeTime</t>
    <phoneticPr fontId="2" type="noConversion"/>
  </si>
  <si>
    <t>duration</t>
    <phoneticPr fontId="2" type="noConversion"/>
  </si>
  <si>
    <t>custemToughPower</t>
    <phoneticPr fontId="2" type="noConversion"/>
  </si>
  <si>
    <t>0根据发射时间生成</t>
    <phoneticPr fontId="2" type="noConversion"/>
  </si>
  <si>
    <t>standardRP</t>
    <phoneticPr fontId="2" type="noConversion"/>
  </si>
  <si>
    <t>standardLDmg</t>
    <phoneticPr fontId="2" type="noConversion"/>
  </si>
  <si>
    <t>standardMDmg</t>
    <phoneticPr fontId="2" type="noConversion"/>
  </si>
  <si>
    <t>MediaType</t>
  </si>
  <si>
    <t>MediaType</t>
    <phoneticPr fontId="2" type="noConversion"/>
  </si>
  <si>
    <t>mediaType</t>
    <phoneticPr fontId="2" type="noConversion"/>
  </si>
  <si>
    <t>参数组</t>
    <phoneticPr fontId="2" type="noConversion"/>
  </si>
  <si>
    <t>*mediaExtraParameters</t>
    <phoneticPr fontId="2" type="noConversion"/>
  </si>
  <si>
    <t>Allies</t>
  </si>
  <si>
    <t>Self|OtherAlly</t>
  </si>
  <si>
    <t>Link</t>
  </si>
  <si>
    <t>Melee</t>
  </si>
  <si>
    <t>Range</t>
  </si>
  <si>
    <t>*Movement</t>
    <phoneticPr fontId="2" type="noConversion"/>
  </si>
  <si>
    <t>viewResPath</t>
    <phoneticPr fontId="2" type="noConversion"/>
  </si>
  <si>
    <t>string</t>
    <phoneticPr fontId="2" type="noConversion"/>
  </si>
  <si>
    <t>展示用</t>
    <phoneticPr fontId="2" type="noConversion"/>
  </si>
  <si>
    <t>参数3</t>
    <phoneticPr fontId="2" type="noConversion"/>
  </si>
  <si>
    <t>参数4</t>
    <phoneticPr fontId="2" type="noConversion"/>
  </si>
  <si>
    <t>None</t>
  </si>
  <si>
    <t>Sphere</t>
  </si>
  <si>
    <t>无碰撞不需要参数</t>
    <phoneticPr fontId="2" type="noConversion"/>
  </si>
  <si>
    <t>半径</t>
    <phoneticPr fontId="2" type="noConversion"/>
  </si>
  <si>
    <t>xoffset正右负左</t>
    <phoneticPr fontId="2" type="noConversion"/>
  </si>
  <si>
    <t>zoffset前后</t>
    <phoneticPr fontId="2" type="noConversion"/>
  </si>
  <si>
    <t>x大小</t>
    <phoneticPr fontId="2" type="noConversion"/>
  </si>
  <si>
    <t>z大小</t>
    <phoneticPr fontId="2" type="noConversion"/>
  </si>
  <si>
    <t>角度</t>
    <phoneticPr fontId="2" type="noConversion"/>
  </si>
  <si>
    <t>zInt</t>
    <phoneticPr fontId="2" type="noConversion"/>
  </si>
  <si>
    <t>xInt</t>
    <phoneticPr fontId="2" type="noConversion"/>
  </si>
  <si>
    <t>hitMaxCount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</si>
</sst>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等线"/>
      <charset val="134"/>
      <scheme val="minor"/>
    </font>
    <font>
      <sz val="11"/>
      <color rgb="FF006100"/>
      <name val="等线"/>
      <family val="2"/>
      <scheme val="minor"/>
    </font>
    <font>
      <sz val="9"/>
      <name val="等线"/>
      <family val="4"/>
      <charset val="134"/>
      <scheme val="minor"/>
    </font>
    <font>
      <sz val="11"/>
      <color theme="1"/>
      <name val="等线"/>
      <family val="4"/>
      <charset val="134"/>
      <scheme val="minor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2" borderId="0" xfId="1">
      <alignment vertical="center"/>
    </xf>
    <xf numFmtId="0" fontId="3" fillId="0" borderId="0" xfId="0" applyFont="1">
      <alignment vertical="center"/>
    </xf>
    <xf numFmtId="0" fontId="1" fillId="2" borderId="4" xfId="1" applyBorder="1">
      <alignment vertical="center"/>
    </xf>
    <xf numFmtId="0" fontId="3" fillId="0" borderId="5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</cellXfs>
  <cellStyles count="2">
    <cellStyle name="常规" xfId="0" builtinId="0"/>
    <cellStyle name="好" xfId="1" builtinId="26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2E06417-4B39-4A4E-85CA-9B4346F20E60}" autoFormatId="16" applyNumberFormats="0" applyBorderFormats="0" applyFontFormats="0" applyPatternFormats="0" applyAlignmentFormats="0" applyWidthHeightFormats="0">
  <queryTableRefresh nextId="13">
    <queryTableFields count="12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796D1A0-FA7B-B14E-A50E-6692A86F15E1}" name="Sheet1" displayName="Sheet1" ref="A1:L84" tableType="queryTable" totalsRowShown="0">
  <autoFilter ref="A1:L84" xr:uid="{C796D1A0-FA7B-B14E-A50E-6692A86F15E1}"/>
  <tableColumns count="12">
    <tableColumn id="1" xr3:uid="{68FE11BD-B527-404B-9232-8E33F42D21A7}" uniqueName="1" name="Column1" queryTableFieldId="1" dataDxfId="8"/>
    <tableColumn id="2" xr3:uid="{2C144B21-F80F-0245-8AC2-19FF30B3F351}" uniqueName="2" name="Column2" queryTableFieldId="2" dataDxfId="7"/>
    <tableColumn id="3" xr3:uid="{9EDB0D35-38EF-1D44-98C5-91F015938767}" uniqueName="3" name="Column3" queryTableFieldId="3"/>
    <tableColumn id="4" xr3:uid="{92BDACD7-47F6-0A4D-AD72-7CA022A0FC1C}" uniqueName="4" name="Column4" queryTableFieldId="4"/>
    <tableColumn id="5" xr3:uid="{0833EB5E-4CB5-644E-BBE1-2CD3D5A18468}" uniqueName="5" name="Column5" queryTableFieldId="5" dataDxfId="6"/>
    <tableColumn id="6" xr3:uid="{C63B4F84-11D6-E24A-A34A-EFAA20E03F84}" uniqueName="6" name="Column6" queryTableFieldId="6" dataDxfId="5"/>
    <tableColumn id="7" xr3:uid="{5740FBE2-2893-0F43-984C-A3047B4DEE56}" uniqueName="7" name="Column7" queryTableFieldId="7" dataDxfId="4"/>
    <tableColumn id="8" xr3:uid="{4837C8C6-56DF-524B-B1A7-4FB076C3A0B4}" uniqueName="8" name="Column8" queryTableFieldId="8" dataDxfId="3"/>
    <tableColumn id="9" xr3:uid="{DF3C99EF-DEC6-AF45-BE9A-F906A498387E}" uniqueName="9" name="Column9" queryTableFieldId="9" dataDxfId="2"/>
    <tableColumn id="10" xr3:uid="{725F1068-7EF9-DB41-80F7-58B7EEDD2B3F}" uniqueName="10" name="Column10" queryTableFieldId="10"/>
    <tableColumn id="11" xr3:uid="{55D82E50-BE7E-4541-B289-F32C3C8509D5}" uniqueName="11" name="Column11" queryTableFieldId="11" dataDxfId="1"/>
    <tableColumn id="12" xr3:uid="{ABFF4DF8-CAA5-FF48-B19E-1464D2AE6322}" uniqueName="12" name="Column12" queryTableFieldId="12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26"/>
  <sheetViews>
    <sheetView tabSelected="1" workbookViewId="0">
      <selection activeCell="M34" sqref="M34"/>
    </sheetView>
  </sheetViews>
  <sheetFormatPr baseColWidth="10" defaultColWidth="9" defaultRowHeight="15"/>
  <cols>
    <col min="2" max="2" width="29.1640625" customWidth="1"/>
    <col min="3" max="3" width="17" customWidth="1"/>
    <col min="4" max="4" width="12" customWidth="1"/>
    <col min="5" max="5" width="14.6640625" customWidth="1"/>
    <col min="6" max="6" width="12.33203125" customWidth="1"/>
    <col min="7" max="9" width="9.33203125" customWidth="1"/>
    <col min="10" max="13" width="11.83203125" customWidth="1"/>
    <col min="14" max="14" width="17" customWidth="1"/>
    <col min="15" max="15" width="10" customWidth="1"/>
    <col min="16" max="16" width="16.5" customWidth="1"/>
    <col min="17" max="17" width="10.83203125" customWidth="1"/>
    <col min="18" max="18" width="15.6640625" customWidth="1"/>
    <col min="19" max="19" width="17" customWidth="1"/>
    <col min="20" max="20" width="16" customWidth="1"/>
    <col min="21" max="21" width="12.33203125" customWidth="1"/>
    <col min="22" max="22" width="17" customWidth="1"/>
    <col min="23" max="23" width="11.83203125" customWidth="1"/>
    <col min="24" max="24" width="14.1640625" customWidth="1"/>
    <col min="25" max="25" width="16.83203125" customWidth="1"/>
  </cols>
  <sheetData>
    <row r="1" spans="1:25" s="1" customFormat="1">
      <c r="A1" t="s">
        <v>0</v>
      </c>
      <c r="B1" t="s">
        <v>2</v>
      </c>
      <c r="C1" s="2" t="s">
        <v>10</v>
      </c>
      <c r="D1" s="2" t="s">
        <v>146</v>
      </c>
      <c r="E1" s="2" t="s">
        <v>91</v>
      </c>
      <c r="F1" s="2" t="s">
        <v>92</v>
      </c>
      <c r="G1" s="2"/>
      <c r="H1" s="2"/>
      <c r="I1" s="2"/>
      <c r="J1" s="4" t="s">
        <v>145</v>
      </c>
      <c r="K1" s="4"/>
      <c r="L1" s="4"/>
      <c r="M1" s="2" t="s">
        <v>129</v>
      </c>
      <c r="N1" s="2" t="s">
        <v>162</v>
      </c>
      <c r="O1" s="2" t="s">
        <v>119</v>
      </c>
      <c r="P1" s="2" t="s">
        <v>130</v>
      </c>
      <c r="Q1" s="2" t="s">
        <v>137</v>
      </c>
      <c r="R1" s="2" t="s">
        <v>139</v>
      </c>
      <c r="S1" s="2" t="s">
        <v>118</v>
      </c>
      <c r="T1" s="2" t="s">
        <v>105</v>
      </c>
      <c r="U1" s="2"/>
      <c r="V1" s="2"/>
      <c r="W1" s="2"/>
      <c r="X1" s="2"/>
      <c r="Y1" s="2"/>
    </row>
    <row r="2" spans="1:25" s="1" customFormat="1">
      <c r="A2" t="s">
        <v>4</v>
      </c>
      <c r="B2" t="s">
        <v>5</v>
      </c>
      <c r="C2" t="s">
        <v>6</v>
      </c>
      <c r="D2" s="2" t="s">
        <v>147</v>
      </c>
      <c r="E2" s="2" t="s">
        <v>90</v>
      </c>
      <c r="F2" s="2" t="s">
        <v>93</v>
      </c>
      <c r="G2" s="2"/>
      <c r="H2" s="2"/>
      <c r="I2" s="2"/>
      <c r="J2" s="5" t="s">
        <v>127</v>
      </c>
      <c r="K2" s="6"/>
      <c r="L2" s="7"/>
      <c r="M2" s="2" t="s">
        <v>120</v>
      </c>
      <c r="N2" s="2" t="s">
        <v>120</v>
      </c>
      <c r="O2" s="2" t="s">
        <v>120</v>
      </c>
      <c r="P2" s="2" t="s">
        <v>120</v>
      </c>
      <c r="Q2" s="2" t="s">
        <v>136</v>
      </c>
      <c r="R2" s="2" t="s">
        <v>94</v>
      </c>
      <c r="S2" s="2" t="s">
        <v>107</v>
      </c>
      <c r="T2" s="2" t="s">
        <v>94</v>
      </c>
      <c r="U2" s="2"/>
      <c r="V2" s="2"/>
      <c r="W2" s="2"/>
      <c r="X2" s="2"/>
      <c r="Y2" s="2"/>
    </row>
    <row r="3" spans="1:25" s="1" customFormat="1">
      <c r="A3" t="s">
        <v>0</v>
      </c>
      <c r="B3"/>
      <c r="C3" s="2"/>
      <c r="D3" s="2"/>
      <c r="E3" s="2"/>
      <c r="F3" s="2">
        <v>0</v>
      </c>
      <c r="G3" s="2">
        <v>1</v>
      </c>
      <c r="H3" s="2">
        <v>2</v>
      </c>
      <c r="I3" s="2">
        <v>3</v>
      </c>
      <c r="J3" s="3" t="s">
        <v>128</v>
      </c>
      <c r="K3" s="3" t="s">
        <v>160</v>
      </c>
      <c r="L3" s="3" t="s">
        <v>161</v>
      </c>
      <c r="M3" s="2"/>
      <c r="N3" s="2"/>
      <c r="O3" s="2"/>
      <c r="P3" s="2"/>
      <c r="Q3" s="2"/>
      <c r="R3" s="2"/>
      <c r="S3" s="2"/>
      <c r="V3" s="2"/>
      <c r="W3" s="2"/>
      <c r="X3" s="2"/>
      <c r="Y3" s="2"/>
    </row>
    <row r="4" spans="1:25" s="1" customFormat="1">
      <c r="A4"/>
      <c r="B4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 spans="1:25" s="1" customFormat="1">
      <c r="A5" t="s">
        <v>7</v>
      </c>
      <c r="B5"/>
      <c r="C5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>
      <c r="A6" t="s">
        <v>1</v>
      </c>
      <c r="B6" t="s">
        <v>2</v>
      </c>
      <c r="C6" t="s">
        <v>8</v>
      </c>
      <c r="D6" s="2" t="s">
        <v>148</v>
      </c>
      <c r="E6" s="2" t="s">
        <v>121</v>
      </c>
      <c r="F6" s="2" t="s">
        <v>122</v>
      </c>
      <c r="G6" s="2" t="s">
        <v>123</v>
      </c>
      <c r="H6" s="2" t="s">
        <v>149</v>
      </c>
      <c r="I6" s="2" t="s">
        <v>150</v>
      </c>
      <c r="J6" s="2"/>
      <c r="K6" s="2"/>
      <c r="L6" s="2"/>
      <c r="M6" s="2"/>
      <c r="N6" s="2" t="s">
        <v>124</v>
      </c>
      <c r="O6" s="2" t="s">
        <v>125</v>
      </c>
      <c r="P6" s="2" t="s">
        <v>131</v>
      </c>
      <c r="Q6" s="2" t="s">
        <v>121</v>
      </c>
      <c r="R6" s="2" t="s">
        <v>138</v>
      </c>
      <c r="S6" s="2"/>
      <c r="T6" s="2"/>
      <c r="U6" s="2"/>
      <c r="V6" s="2"/>
      <c r="W6" s="2"/>
      <c r="X6" s="2"/>
      <c r="Y6" s="2"/>
    </row>
    <row r="7" spans="1:25">
      <c r="B7">
        <v>1</v>
      </c>
      <c r="C7" s="2" t="s">
        <v>89</v>
      </c>
      <c r="D7" s="2"/>
      <c r="E7" s="2" t="s">
        <v>75</v>
      </c>
      <c r="F7" s="2"/>
      <c r="G7" s="2"/>
      <c r="H7" s="2">
        <v>5000</v>
      </c>
      <c r="I7" s="2">
        <v>120</v>
      </c>
      <c r="J7" s="2"/>
      <c r="K7" s="2"/>
      <c r="L7" s="2"/>
      <c r="M7" s="2"/>
      <c r="N7" s="2">
        <v>1</v>
      </c>
      <c r="O7" s="2">
        <v>1</v>
      </c>
      <c r="P7" s="2"/>
      <c r="Q7" s="2" t="s">
        <v>101</v>
      </c>
      <c r="R7" s="2"/>
      <c r="S7" s="2" t="s">
        <v>114</v>
      </c>
      <c r="T7" s="2" t="s">
        <v>102</v>
      </c>
      <c r="U7" s="2"/>
      <c r="V7" s="2"/>
      <c r="W7" s="2"/>
      <c r="X7" s="2"/>
      <c r="Y7" s="2"/>
    </row>
    <row r="8" spans="1:25"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>
      <c r="B9">
        <v>2</v>
      </c>
      <c r="C9" s="2" t="s">
        <v>103</v>
      </c>
      <c r="D9" s="2"/>
      <c r="E9" s="2" t="s">
        <v>75</v>
      </c>
      <c r="F9" s="2"/>
      <c r="G9" s="2"/>
      <c r="H9" s="2">
        <v>3500</v>
      </c>
      <c r="I9" s="2">
        <v>120</v>
      </c>
      <c r="J9" s="2"/>
      <c r="K9" s="2"/>
      <c r="L9" s="2"/>
      <c r="M9" s="2"/>
      <c r="N9" s="2">
        <v>1</v>
      </c>
      <c r="O9" s="2">
        <v>1</v>
      </c>
      <c r="P9" s="2"/>
      <c r="Q9" s="2" t="s">
        <v>143</v>
      </c>
      <c r="R9" s="2"/>
      <c r="S9" s="2" t="s">
        <v>114</v>
      </c>
      <c r="T9" s="2" t="s">
        <v>134</v>
      </c>
      <c r="U9" s="2"/>
      <c r="V9" s="2"/>
      <c r="W9" s="2"/>
      <c r="X9" s="2"/>
      <c r="Y9" s="2"/>
    </row>
    <row r="10" spans="1:25"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>
      <c r="B11">
        <v>3</v>
      </c>
      <c r="C11" s="2" t="s">
        <v>104</v>
      </c>
      <c r="D11" s="2"/>
      <c r="E11" s="2" t="s">
        <v>75</v>
      </c>
      <c r="F11" s="2"/>
      <c r="G11" s="2"/>
      <c r="H11" s="2">
        <v>4500</v>
      </c>
      <c r="I11" s="2">
        <v>120</v>
      </c>
      <c r="J11" s="2"/>
      <c r="K11" s="2"/>
      <c r="L11" s="2"/>
      <c r="M11" s="2"/>
      <c r="N11" s="2">
        <v>1</v>
      </c>
      <c r="O11" s="2">
        <v>1</v>
      </c>
      <c r="P11" s="2"/>
      <c r="Q11" s="2" t="s">
        <v>143</v>
      </c>
      <c r="R11" s="2"/>
      <c r="S11" s="2" t="s">
        <v>114</v>
      </c>
      <c r="T11" s="2" t="s">
        <v>134</v>
      </c>
      <c r="U11" s="2"/>
      <c r="V11" s="2"/>
      <c r="W11" s="2"/>
      <c r="X11" s="2"/>
      <c r="Y11" s="2"/>
    </row>
    <row r="12" spans="1:25"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>
      <c r="B13">
        <v>4</v>
      </c>
      <c r="C13" s="2" t="s">
        <v>117</v>
      </c>
      <c r="D13" s="2"/>
      <c r="E13" s="2" t="s">
        <v>75</v>
      </c>
      <c r="F13" s="2"/>
      <c r="G13" s="2"/>
      <c r="H13" s="2">
        <v>4500</v>
      </c>
      <c r="I13" s="2">
        <v>120</v>
      </c>
      <c r="J13" s="2"/>
      <c r="K13" s="2"/>
      <c r="L13" s="2"/>
      <c r="M13" s="2"/>
      <c r="N13" s="2">
        <v>1</v>
      </c>
      <c r="O13" s="2">
        <v>1</v>
      </c>
      <c r="P13" s="2"/>
      <c r="Q13" s="2" t="s">
        <v>143</v>
      </c>
      <c r="R13" s="2"/>
      <c r="S13" s="2" t="s">
        <v>114</v>
      </c>
      <c r="T13" s="2" t="s">
        <v>134</v>
      </c>
      <c r="U13" s="2"/>
      <c r="V13" s="2"/>
      <c r="W13" s="2"/>
      <c r="X13" s="2"/>
      <c r="Y13" s="2"/>
    </row>
    <row r="14" spans="1:25"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>
      <c r="B15">
        <v>5</v>
      </c>
      <c r="C15" s="2" t="s">
        <v>126</v>
      </c>
      <c r="D15" s="2"/>
      <c r="E15" s="2" t="s">
        <v>77</v>
      </c>
      <c r="F15" s="2"/>
      <c r="G15" s="2"/>
      <c r="H15" s="2">
        <v>200</v>
      </c>
      <c r="I15" s="2"/>
      <c r="J15" s="2">
        <v>0</v>
      </c>
      <c r="K15" s="2">
        <v>30000</v>
      </c>
      <c r="L15" s="2">
        <v>0</v>
      </c>
      <c r="M15" s="2">
        <v>2000</v>
      </c>
      <c r="N15" s="2">
        <v>1</v>
      </c>
      <c r="O15" s="2">
        <v>1</v>
      </c>
      <c r="P15" s="2"/>
      <c r="Q15" s="2" t="s">
        <v>144</v>
      </c>
      <c r="R15" s="2"/>
      <c r="S15" s="2" t="s">
        <v>115</v>
      </c>
      <c r="T15" s="2" t="s">
        <v>133</v>
      </c>
      <c r="U15" s="2"/>
      <c r="V15" s="2"/>
      <c r="W15" s="2"/>
      <c r="X15" s="2"/>
      <c r="Y15" s="2"/>
    </row>
    <row r="16" spans="1:25"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>
      <c r="B17">
        <v>6</v>
      </c>
      <c r="C17" s="2" t="s">
        <v>132</v>
      </c>
      <c r="D17" s="2"/>
      <c r="E17" s="2" t="s">
        <v>77</v>
      </c>
      <c r="F17" s="2"/>
      <c r="G17" s="2"/>
      <c r="H17" s="2">
        <v>200</v>
      </c>
      <c r="I17" s="2"/>
      <c r="J17" s="2">
        <v>0</v>
      </c>
      <c r="K17" s="2">
        <v>30000</v>
      </c>
      <c r="L17" s="2">
        <v>0</v>
      </c>
      <c r="M17" s="2">
        <v>2000</v>
      </c>
      <c r="N17" s="2">
        <v>1</v>
      </c>
      <c r="O17" s="2">
        <v>1</v>
      </c>
      <c r="P17" s="2">
        <v>30000</v>
      </c>
      <c r="Q17" s="2" t="s">
        <v>144</v>
      </c>
      <c r="R17" s="2"/>
      <c r="S17" s="2" t="s">
        <v>114</v>
      </c>
      <c r="T17" s="2" t="s">
        <v>133</v>
      </c>
      <c r="U17" s="2"/>
      <c r="V17" s="2"/>
      <c r="W17" s="2"/>
      <c r="X17" s="2"/>
      <c r="Y17" s="2"/>
    </row>
    <row r="18" spans="2:25"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>
      <c r="B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</sheetData>
  <mergeCells count="2">
    <mergeCell ref="J1:L1"/>
    <mergeCell ref="J2:L2"/>
  </mergeCells>
  <phoneticPr fontId="2" type="noConversion"/>
  <pageMargins left="0.7" right="0.7" top="0.75" bottom="0.75" header="0.3" footer="0.3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8DFC1BB-243B-724A-889D-E833C92399CA}">
          <x14:formula1>
            <xm:f>Sheet3!$A:$A</xm:f>
          </x14:formula1>
          <xm:sqref>S7:S19</xm:sqref>
        </x14:dataValidation>
        <x14:dataValidation type="list" allowBlank="1" showInputMessage="1" showErrorMessage="1" xr:uid="{13E8B447-24C5-AD49-AF4A-DBFABE3C0342}">
          <x14:formula1>
            <xm:f>Sheet3!$C:$C</xm:f>
          </x14:formula1>
          <xm:sqref>Q7:Q17</xm:sqref>
        </x14:dataValidation>
        <x14:dataValidation type="list" allowBlank="1" showInputMessage="1" showErrorMessage="1" xr:uid="{DCBB9313-FFA5-0C4C-877A-744A0924C077}">
          <x14:formula1>
            <xm:f>Sheet3!$F:$F</xm:f>
          </x14:formula1>
          <xm:sqref>E7:E17</xm:sqref>
        </x14:dataValidation>
        <x14:dataValidation type="list" allowBlank="1" showInputMessage="1" showErrorMessage="1" xr:uid="{06A62E67-ADA8-F74A-B92E-D24641951A44}">
          <x14:formula1>
            <xm:f>'Sheet1 (2)'!$H$44:$H$84</xm:f>
          </x14:formula1>
          <xm:sqref>D20 E18:E20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2E70E-152D-2E4D-B9F7-92882B7E71D2}">
  <dimension ref="A1:K6"/>
  <sheetViews>
    <sheetView workbookViewId="0">
      <selection activeCell="L37" sqref="L37"/>
    </sheetView>
  </sheetViews>
  <sheetFormatPr baseColWidth="10" defaultRowHeight="15"/>
  <sheetData>
    <row r="1" spans="1:11">
      <c r="A1" t="str" cm="1">
        <f t="array" ref="A1:A4">'Sheet1 (2)'!H65:H68</f>
        <v>Self</v>
      </c>
      <c r="C1" t="str" cm="1">
        <f t="array" ref="C1:C6">'Sheet1 (2)'!H71:H76</f>
        <v>Undefine</v>
      </c>
      <c r="F1" t="str" cm="1">
        <f t="array" ref="F1:F6">'Sheet1 (2)'!H50:H55</f>
        <v>None</v>
      </c>
      <c r="G1" s="2" t="s">
        <v>153</v>
      </c>
    </row>
    <row r="2" spans="1:11">
      <c r="A2" t="str">
        <v>OtherAlly</v>
      </c>
      <c r="C2" t="str">
        <v>Self</v>
      </c>
      <c r="F2" t="str">
        <v>Sphere</v>
      </c>
      <c r="G2" s="2" t="s">
        <v>155</v>
      </c>
      <c r="H2" s="2" t="s">
        <v>156</v>
      </c>
      <c r="I2" s="2" t="s">
        <v>154</v>
      </c>
    </row>
    <row r="3" spans="1:11">
      <c r="A3" t="str">
        <v>Enemy</v>
      </c>
      <c r="C3" t="str">
        <v>Link</v>
      </c>
      <c r="F3" t="str">
        <v>Box</v>
      </c>
      <c r="G3" s="2" t="s">
        <v>155</v>
      </c>
      <c r="H3" s="2" t="s">
        <v>156</v>
      </c>
      <c r="I3" s="2" t="s">
        <v>157</v>
      </c>
      <c r="J3" s="2" t="s">
        <v>158</v>
      </c>
      <c r="K3" s="2"/>
    </row>
    <row r="4" spans="1:11">
      <c r="A4" t="str">
        <v>AllOther</v>
      </c>
      <c r="C4" t="str">
        <v>Melee</v>
      </c>
      <c r="F4" t="str">
        <v>Sector</v>
      </c>
      <c r="G4" s="2" t="s">
        <v>155</v>
      </c>
      <c r="H4" s="2" t="s">
        <v>156</v>
      </c>
      <c r="I4" s="2" t="s">
        <v>154</v>
      </c>
      <c r="J4" s="2" t="s">
        <v>159</v>
      </c>
      <c r="K4" s="2"/>
    </row>
    <row r="5" spans="1:11">
      <c r="C5" t="str">
        <v>Range</v>
      </c>
      <c r="F5" t="str">
        <v>Line</v>
      </c>
      <c r="G5" s="2" t="s">
        <v>155</v>
      </c>
      <c r="H5" s="2" t="s">
        <v>156</v>
      </c>
    </row>
    <row r="6" spans="1:11">
      <c r="C6" t="str">
        <v>Lock</v>
      </c>
      <c r="F6" t="str">
        <v>SphereCast</v>
      </c>
      <c r="G6" s="2" t="s">
        <v>155</v>
      </c>
      <c r="H6" s="2" t="s">
        <v>156</v>
      </c>
      <c r="I6" s="2" t="s">
        <v>154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B30F6-E407-D349-A990-59FB594F1EE8}">
  <dimension ref="A1:L84"/>
  <sheetViews>
    <sheetView topLeftCell="A44" workbookViewId="0">
      <selection activeCell="C67" sqref="C67"/>
    </sheetView>
  </sheetViews>
  <sheetFormatPr baseColWidth="10" defaultRowHeight="15"/>
  <cols>
    <col min="1" max="1" width="12" bestFit="1" customWidth="1"/>
    <col min="2" max="2" width="20.33203125" bestFit="1" customWidth="1"/>
    <col min="3" max="3" width="80.6640625" bestFit="1" customWidth="1"/>
    <col min="4" max="4" width="15" bestFit="1" customWidth="1"/>
    <col min="5" max="7" width="12" bestFit="1" customWidth="1"/>
    <col min="8" max="8" width="16.33203125" bestFit="1" customWidth="1"/>
    <col min="9" max="9" width="12" bestFit="1" customWidth="1"/>
    <col min="10" max="10" width="15.33203125" bestFit="1" customWidth="1"/>
    <col min="11" max="12" width="13" bestFit="1" customWidth="1"/>
  </cols>
  <sheetData>
    <row r="1" spans="1:12">
      <c r="A1" t="s">
        <v>16</v>
      </c>
      <c r="B1" t="s">
        <v>17</v>
      </c>
      <c r="C1" t="s">
        <v>18</v>
      </c>
      <c r="D1" t="s">
        <v>19</v>
      </c>
      <c r="E1" t="s">
        <v>20</v>
      </c>
      <c r="F1" t="s">
        <v>21</v>
      </c>
      <c r="G1" t="s">
        <v>22</v>
      </c>
      <c r="H1" t="s">
        <v>23</v>
      </c>
      <c r="I1" t="s">
        <v>24</v>
      </c>
      <c r="J1" t="s">
        <v>25</v>
      </c>
      <c r="K1" t="s">
        <v>26</v>
      </c>
      <c r="L1" t="s">
        <v>27</v>
      </c>
    </row>
    <row r="2" spans="1:12">
      <c r="A2" t="s">
        <v>0</v>
      </c>
      <c r="B2" t="s">
        <v>28</v>
      </c>
      <c r="C2" t="s">
        <v>29</v>
      </c>
      <c r="D2" t="s">
        <v>30</v>
      </c>
      <c r="E2" t="s">
        <v>31</v>
      </c>
      <c r="F2" t="s">
        <v>32</v>
      </c>
      <c r="G2" t="s">
        <v>33</v>
      </c>
      <c r="H2" t="s">
        <v>34</v>
      </c>
    </row>
    <row r="3" spans="1:12">
      <c r="A3" t="s">
        <v>0</v>
      </c>
      <c r="H3" t="s">
        <v>3</v>
      </c>
      <c r="I3" t="s">
        <v>9</v>
      </c>
      <c r="J3" t="s">
        <v>35</v>
      </c>
      <c r="K3" t="s">
        <v>32</v>
      </c>
      <c r="L3" t="s">
        <v>33</v>
      </c>
    </row>
    <row r="4" spans="1:12">
      <c r="A4" t="s">
        <v>1</v>
      </c>
      <c r="B4" t="s">
        <v>36</v>
      </c>
      <c r="C4" t="s">
        <v>37</v>
      </c>
      <c r="D4" t="s">
        <v>38</v>
      </c>
      <c r="H4" t="s">
        <v>39</v>
      </c>
      <c r="I4" t="s">
        <v>40</v>
      </c>
      <c r="J4" t="s">
        <v>41</v>
      </c>
      <c r="K4" t="s">
        <v>42</v>
      </c>
    </row>
    <row r="5" spans="1:12">
      <c r="A5" t="s">
        <v>1</v>
      </c>
      <c r="B5" t="s">
        <v>43</v>
      </c>
      <c r="C5" t="b">
        <v>0</v>
      </c>
      <c r="D5" t="b">
        <v>1</v>
      </c>
      <c r="H5" t="s">
        <v>44</v>
      </c>
      <c r="I5" t="s">
        <v>45</v>
      </c>
      <c r="J5">
        <v>1</v>
      </c>
      <c r="K5" t="s">
        <v>46</v>
      </c>
    </row>
    <row r="6" spans="1:12">
      <c r="A6" t="s">
        <v>1</v>
      </c>
      <c r="H6" t="s">
        <v>47</v>
      </c>
      <c r="I6" t="s">
        <v>48</v>
      </c>
      <c r="J6">
        <v>2</v>
      </c>
      <c r="K6" t="s">
        <v>49</v>
      </c>
    </row>
    <row r="7" spans="1:12">
      <c r="A7" t="s">
        <v>1</v>
      </c>
      <c r="H7" t="s">
        <v>50</v>
      </c>
      <c r="I7" t="s">
        <v>51</v>
      </c>
      <c r="J7">
        <v>3</v>
      </c>
      <c r="K7" t="s">
        <v>52</v>
      </c>
    </row>
    <row r="8" spans="1:12">
      <c r="A8" t="s">
        <v>1</v>
      </c>
      <c r="H8" t="s">
        <v>53</v>
      </c>
      <c r="I8" t="s">
        <v>54</v>
      </c>
      <c r="J8">
        <v>4</v>
      </c>
      <c r="K8" t="s">
        <v>55</v>
      </c>
    </row>
    <row r="9" spans="1:12">
      <c r="A9" t="s">
        <v>1</v>
      </c>
      <c r="B9" t="s">
        <v>56</v>
      </c>
      <c r="C9" t="b">
        <v>1</v>
      </c>
      <c r="D9" t="b">
        <v>1</v>
      </c>
      <c r="H9" t="s">
        <v>57</v>
      </c>
      <c r="J9">
        <v>1</v>
      </c>
    </row>
    <row r="10" spans="1:12">
      <c r="A10" t="s">
        <v>1</v>
      </c>
      <c r="H10" t="s">
        <v>58</v>
      </c>
      <c r="J10">
        <v>2</v>
      </c>
    </row>
    <row r="11" spans="1:12">
      <c r="A11" t="s">
        <v>1</v>
      </c>
      <c r="H11" t="s">
        <v>59</v>
      </c>
      <c r="J11">
        <v>4</v>
      </c>
    </row>
    <row r="12" spans="1:12">
      <c r="A12" t="s">
        <v>1</v>
      </c>
      <c r="H12" t="s">
        <v>60</v>
      </c>
      <c r="J12">
        <v>8</v>
      </c>
    </row>
    <row r="13" spans="1:12">
      <c r="A13" t="s">
        <v>1</v>
      </c>
      <c r="H13" t="s">
        <v>61</v>
      </c>
      <c r="J13" t="s">
        <v>62</v>
      </c>
    </row>
    <row r="15" spans="1:12">
      <c r="B15" s="2" t="s">
        <v>95</v>
      </c>
      <c r="C15" t="b">
        <v>0</v>
      </c>
      <c r="D15" t="b">
        <v>1</v>
      </c>
      <c r="H15" t="s">
        <v>63</v>
      </c>
      <c r="J15">
        <v>0</v>
      </c>
    </row>
    <row r="16" spans="1:12">
      <c r="H16" t="s">
        <v>15</v>
      </c>
      <c r="J16">
        <v>1</v>
      </c>
    </row>
    <row r="17" spans="8:10">
      <c r="H17" t="s">
        <v>64</v>
      </c>
      <c r="J17">
        <v>2</v>
      </c>
    </row>
    <row r="18" spans="8:10">
      <c r="H18" t="s">
        <v>78</v>
      </c>
      <c r="J18">
        <v>3</v>
      </c>
    </row>
    <row r="19" spans="8:10">
      <c r="H19" t="s">
        <v>79</v>
      </c>
      <c r="J19">
        <v>4</v>
      </c>
    </row>
    <row r="20" spans="8:10">
      <c r="H20" t="s">
        <v>80</v>
      </c>
      <c r="J20">
        <v>5</v>
      </c>
    </row>
    <row r="21" spans="8:10">
      <c r="H21" t="s">
        <v>81</v>
      </c>
      <c r="J21">
        <v>6</v>
      </c>
    </row>
    <row r="22" spans="8:10">
      <c r="H22" t="s">
        <v>82</v>
      </c>
      <c r="J22">
        <v>7</v>
      </c>
    </row>
    <row r="23" spans="8:10">
      <c r="H23" t="s">
        <v>65</v>
      </c>
      <c r="J23">
        <v>8</v>
      </c>
    </row>
    <row r="24" spans="8:10">
      <c r="H24" t="s">
        <v>11</v>
      </c>
      <c r="J24">
        <v>9</v>
      </c>
    </row>
    <row r="25" spans="8:10">
      <c r="H25" t="s">
        <v>12</v>
      </c>
      <c r="J25">
        <v>10</v>
      </c>
    </row>
    <row r="26" spans="8:10">
      <c r="H26" t="s">
        <v>13</v>
      </c>
      <c r="J26">
        <v>11</v>
      </c>
    </row>
    <row r="27" spans="8:10">
      <c r="H27" t="s">
        <v>14</v>
      </c>
      <c r="J27">
        <v>12</v>
      </c>
    </row>
    <row r="28" spans="8:10">
      <c r="H28" t="s">
        <v>83</v>
      </c>
      <c r="J28">
        <v>13</v>
      </c>
    </row>
    <row r="29" spans="8:10">
      <c r="H29" t="s">
        <v>84</v>
      </c>
      <c r="J29">
        <v>14</v>
      </c>
    </row>
    <row r="30" spans="8:10">
      <c r="H30" t="s">
        <v>85</v>
      </c>
      <c r="J30">
        <v>15</v>
      </c>
    </row>
    <row r="31" spans="8:10">
      <c r="H31" t="s">
        <v>86</v>
      </c>
      <c r="J31">
        <v>16</v>
      </c>
    </row>
    <row r="32" spans="8:10">
      <c r="H32" t="s">
        <v>87</v>
      </c>
      <c r="J32">
        <v>17</v>
      </c>
    </row>
    <row r="33" spans="2:10">
      <c r="H33" t="s">
        <v>88</v>
      </c>
      <c r="J33">
        <v>18</v>
      </c>
    </row>
    <row r="34" spans="2:10">
      <c r="H34" t="s">
        <v>66</v>
      </c>
      <c r="J34">
        <v>19</v>
      </c>
    </row>
    <row r="35" spans="2:10">
      <c r="H35" t="s">
        <v>108</v>
      </c>
      <c r="J35">
        <v>20</v>
      </c>
    </row>
    <row r="39" spans="2:10">
      <c r="B39" t="s">
        <v>67</v>
      </c>
      <c r="C39" t="b">
        <v>0</v>
      </c>
      <c r="D39" t="b">
        <v>1</v>
      </c>
      <c r="H39" t="s">
        <v>63</v>
      </c>
      <c r="J39">
        <v>0</v>
      </c>
    </row>
    <row r="40" spans="2:10">
      <c r="H40" t="s">
        <v>68</v>
      </c>
      <c r="J40">
        <v>1</v>
      </c>
    </row>
    <row r="41" spans="2:10">
      <c r="H41" t="s">
        <v>69</v>
      </c>
      <c r="J41">
        <v>2</v>
      </c>
    </row>
    <row r="42" spans="2:10">
      <c r="H42" t="s">
        <v>70</v>
      </c>
      <c r="J42">
        <v>3</v>
      </c>
    </row>
    <row r="43" spans="2:10">
      <c r="H43" t="s">
        <v>71</v>
      </c>
      <c r="J43">
        <v>4</v>
      </c>
    </row>
    <row r="44" spans="2:10">
      <c r="H44" t="s">
        <v>72</v>
      </c>
      <c r="J44">
        <v>5</v>
      </c>
    </row>
    <row r="50" spans="2:10">
      <c r="B50" t="s">
        <v>73</v>
      </c>
      <c r="C50" t="b">
        <v>0</v>
      </c>
      <c r="D50" t="b">
        <v>1</v>
      </c>
      <c r="H50" t="s">
        <v>151</v>
      </c>
      <c r="J50">
        <v>0</v>
      </c>
    </row>
    <row r="51" spans="2:10">
      <c r="H51" t="s">
        <v>152</v>
      </c>
      <c r="J51">
        <v>1</v>
      </c>
    </row>
    <row r="52" spans="2:10">
      <c r="H52" t="s">
        <v>74</v>
      </c>
      <c r="J52">
        <v>2</v>
      </c>
    </row>
    <row r="53" spans="2:10">
      <c r="H53" t="s">
        <v>75</v>
      </c>
      <c r="J53">
        <v>3</v>
      </c>
    </row>
    <row r="54" spans="2:10">
      <c r="H54" t="s">
        <v>76</v>
      </c>
      <c r="J54">
        <v>4</v>
      </c>
    </row>
    <row r="55" spans="2:10">
      <c r="H55" t="s">
        <v>77</v>
      </c>
      <c r="J55">
        <v>5</v>
      </c>
    </row>
    <row r="60" spans="2:10">
      <c r="B60" t="s">
        <v>109</v>
      </c>
      <c r="C60" t="b">
        <v>0</v>
      </c>
      <c r="D60" t="b">
        <v>1</v>
      </c>
      <c r="H60" t="s">
        <v>63</v>
      </c>
      <c r="J60">
        <v>0</v>
      </c>
    </row>
    <row r="61" spans="2:10">
      <c r="H61" t="s">
        <v>110</v>
      </c>
      <c r="J61">
        <v>1</v>
      </c>
    </row>
    <row r="62" spans="2:10">
      <c r="H62" t="s">
        <v>111</v>
      </c>
      <c r="J62">
        <v>2</v>
      </c>
    </row>
    <row r="65" spans="2:10">
      <c r="B65" t="s">
        <v>106</v>
      </c>
      <c r="C65" t="b">
        <v>1</v>
      </c>
      <c r="D65" t="b">
        <v>1</v>
      </c>
      <c r="H65" t="s">
        <v>112</v>
      </c>
      <c r="J65">
        <v>1</v>
      </c>
    </row>
    <row r="66" spans="2:10">
      <c r="H66" t="s">
        <v>113</v>
      </c>
      <c r="J66">
        <v>2</v>
      </c>
    </row>
    <row r="67" spans="2:10">
      <c r="H67" t="s">
        <v>114</v>
      </c>
      <c r="J67">
        <v>4</v>
      </c>
    </row>
    <row r="68" spans="2:10">
      <c r="H68" t="s">
        <v>115</v>
      </c>
      <c r="J68" t="s">
        <v>116</v>
      </c>
    </row>
    <row r="69" spans="2:10">
      <c r="H69" t="s">
        <v>140</v>
      </c>
      <c r="J69" t="s">
        <v>141</v>
      </c>
    </row>
    <row r="71" spans="2:10">
      <c r="B71" t="s">
        <v>135</v>
      </c>
      <c r="C71" t="b">
        <v>0</v>
      </c>
      <c r="D71" t="b">
        <v>1</v>
      </c>
      <c r="H71" t="s">
        <v>63</v>
      </c>
      <c r="J71">
        <v>0</v>
      </c>
    </row>
    <row r="72" spans="2:10">
      <c r="H72" t="s">
        <v>112</v>
      </c>
      <c r="J72">
        <v>1</v>
      </c>
    </row>
    <row r="73" spans="2:10">
      <c r="H73" t="s">
        <v>142</v>
      </c>
      <c r="J73">
        <v>2</v>
      </c>
    </row>
    <row r="74" spans="2:10">
      <c r="H74" t="s">
        <v>143</v>
      </c>
      <c r="J74">
        <v>3</v>
      </c>
    </row>
    <row r="75" spans="2:10">
      <c r="H75" t="s">
        <v>144</v>
      </c>
      <c r="J75">
        <v>4</v>
      </c>
    </row>
    <row r="76" spans="2:10">
      <c r="H76" t="s">
        <v>101</v>
      </c>
      <c r="J76">
        <v>5</v>
      </c>
    </row>
    <row r="79" spans="2:10">
      <c r="B79" t="s">
        <v>96</v>
      </c>
      <c r="C79" t="b">
        <v>0</v>
      </c>
      <c r="D79" t="b">
        <v>1</v>
      </c>
      <c r="H79" t="s">
        <v>63</v>
      </c>
      <c r="J79">
        <v>0</v>
      </c>
    </row>
    <row r="80" spans="2:10">
      <c r="H80" t="s">
        <v>97</v>
      </c>
      <c r="J80">
        <v>1</v>
      </c>
    </row>
    <row r="81" spans="8:10">
      <c r="H81" t="s">
        <v>98</v>
      </c>
      <c r="J81">
        <v>2</v>
      </c>
    </row>
    <row r="82" spans="8:10">
      <c r="H82" t="s">
        <v>99</v>
      </c>
      <c r="J82">
        <v>3</v>
      </c>
    </row>
    <row r="83" spans="8:10">
      <c r="H83" t="s">
        <v>100</v>
      </c>
      <c r="J83">
        <v>4</v>
      </c>
    </row>
    <row r="84" spans="8:10">
      <c r="H84" t="s">
        <v>101</v>
      </c>
      <c r="J84">
        <v>5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03CBD83-FF12-F74E-B9AE-4AA6C6624BA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Sheet3</vt:lpstr>
      <vt:lpstr>Sheet1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浩 田</cp:lastModifiedBy>
  <dcterms:created xsi:type="dcterms:W3CDTF">2021-08-02T03:12:00Z</dcterms:created>
  <dcterms:modified xsi:type="dcterms:W3CDTF">2025-12-05T07:23:01Z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BBC661D7790440E7A64E0F0F6D66F01B</vt:lpwstr>
  </property>
  <property fmtid="{D5CDD505-2E9C-101B-9397-08002B2CF9AE}" pid="3" name="KSOProductBuildVer">
    <vt:lpwstr>1033-12.2.0.13110</vt:lpwstr>
  </property>
</Properties>
</file>