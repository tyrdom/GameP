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workSpace\GameP\Tools\ExcelConfig\ExcelTables\"/>
    </mc:Choice>
  </mc:AlternateContent>
  <xr:revisionPtr revIDLastSave="0" documentId="13_ncr:1_{0CBCA944-0EBA-4A44-80A6-D6AF7D837F7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TargetTypeTag" sheetId="12" r:id="rId2"/>
    <sheet name="MediaType" sheetId="11" r:id="rId3"/>
    <sheet name="Shape" sheetId="4" r:id="rId4"/>
    <sheet name="bodyStatus" sheetId="13" r:id="rId5"/>
    <sheet name="Config" sheetId="10" r:id="rId6"/>
  </sheets>
  <definedNames>
    <definedName name="ExternalData_1" localSheetId="4" hidden="1">bodyStatus!$A$1:$A$6</definedName>
    <definedName name="ExternalData_1" localSheetId="3" hidden="1">Shape!$A$1:$A$6</definedName>
    <definedName name="ExternalData_2" localSheetId="2" hidden="1">MediaType!$A$1:$A$7</definedName>
    <definedName name="ExternalData_3" localSheetId="1" hidden="1">TargetTypeTag!$A$1:$A$6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 a="1"/>
  <c r="B2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BF2B20-0774-1649-993B-F02C1B481819}" keepAlive="1" name="查询 - Sheet1" description="与工作簿中“Sheet1”查询的连接。" type="5" refreshedVersion="8" background="1" saveData="1">
    <dbPr connection="Provider=Microsoft.Mashup.OleDb.1;Data Source=$Workbook$;Location=Sheet1;Extended Properties=&quot;&quot;" command="SELECT * FROM [Sheet1]"/>
  </connection>
  <connection id="2" xr16:uid="{2497F912-564B-406D-AF84-5BD1586506B5}" keepAlive="1" name="查询 - Sheet1 (2)" description="与工作簿中“Sheet1 (2)”查询的连接。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1B791FE3-91B0-4CCA-A48B-A4ADC68EB0D6}" keepAlive="1" name="查询 - Sheet1 (3)" description="与工作簿中“Sheet1 (3)”查询的连接。" type="5" refreshedVersion="8" background="1" saveData="1">
    <dbPr connection="Provider=Microsoft.Mashup.OleDb.1;Data Source=$Workbook$;Location=&quot;Sheet1 (3)&quot;;Extended Properties=&quot;&quot;" command="SELECT * FROM [Sheet1 (3)]"/>
  </connection>
  <connection id="4" xr16:uid="{EDDEA5B3-1C90-E04F-ACAC-5C2597F68273}" keepAlive="1" name="查询 - Sheet1 (4)" description="与工作簿中“Sheet1 (4)”查询的连接。" type="5" refreshedVersion="8" background="1" saveData="1">
    <dbPr connection="Provider=Microsoft.Mashup.OleDb.1;Data Source=$Workbook$;Location=&quot;Sheet1 (4)&quot;;Extended Properties=&quot;&quot;" command="SELECT * FROM [Sheet1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<sst xmlns="http://schemas.openxmlformats.org/spreadsheetml/2006/main" count="152" uniqueCount="102">
  <si>
    <t>##var</t>
  </si>
  <si>
    <t>##</t>
  </si>
  <si>
    <t>id</t>
  </si>
  <si>
    <t>##type</t>
  </si>
  <si>
    <t>int</t>
  </si>
  <si>
    <t>string</t>
  </si>
  <si>
    <t>##group</t>
  </si>
  <si>
    <t>alias</t>
    <phoneticPr fontId="2" type="noConversion"/>
  </si>
  <si>
    <t>类型</t>
    <phoneticPr fontId="2" type="noConversion"/>
  </si>
  <si>
    <t>list,int</t>
    <phoneticPr fontId="2" type="noConversion"/>
  </si>
  <si>
    <t>Lock</t>
  </si>
  <si>
    <t>standardLock</t>
    <phoneticPr fontId="2" type="noConversion"/>
  </si>
  <si>
    <t>standardLDmg</t>
    <phoneticPr fontId="2" type="noConversion"/>
  </si>
  <si>
    <t>standardMDmg</t>
    <phoneticPr fontId="2" type="noConversion"/>
  </si>
  <si>
    <t>EnumPath</t>
  </si>
  <si>
    <t>参数名</t>
  </si>
  <si>
    <t>参数值</t>
  </si>
  <si>
    <t>Undefine</t>
  </si>
  <si>
    <t>viewResPath</t>
    <phoneticPr fontId="2" type="noConversion"/>
  </si>
  <si>
    <t>colliderShapeType</t>
    <phoneticPr fontId="2" type="noConversion"/>
  </si>
  <si>
    <t>colliderParam</t>
    <phoneticPr fontId="2" type="noConversion"/>
  </si>
  <si>
    <t>*Movement</t>
    <phoneticPr fontId="2" type="noConversion"/>
  </si>
  <si>
    <t>duration</t>
    <phoneticPr fontId="2" type="noConversion"/>
  </si>
  <si>
    <t>hitGapTime</t>
    <phoneticPr fontId="2" type="noConversion"/>
  </si>
  <si>
    <t>custemToughPower</t>
    <phoneticPr fontId="2" type="noConversion"/>
  </si>
  <si>
    <t>mediaType</t>
    <phoneticPr fontId="2" type="noConversion"/>
  </si>
  <si>
    <t>*mediaExtraParameters</t>
    <phoneticPr fontId="2" type="noConversion"/>
  </si>
  <si>
    <t>targetType</t>
    <phoneticPr fontId="2" type="noConversion"/>
  </si>
  <si>
    <t>*effectAlias</t>
    <phoneticPr fontId="2" type="noConversion"/>
  </si>
  <si>
    <t>string</t>
    <phoneticPr fontId="2" type="noConversion"/>
  </si>
  <si>
    <t>ColliderShape</t>
    <phoneticPr fontId="2" type="noConversion"/>
  </si>
  <si>
    <t>list,MovementChangeCfg</t>
    <phoneticPr fontId="4" type="noConversion"/>
  </si>
  <si>
    <t>int</t>
    <phoneticPr fontId="2" type="noConversion"/>
  </si>
  <si>
    <t>MediaType</t>
    <phoneticPr fontId="2" type="noConversion"/>
  </si>
  <si>
    <t>list,string</t>
    <phoneticPr fontId="2" type="noConversion"/>
  </si>
  <si>
    <t>changeTime</t>
    <phoneticPr fontId="2" type="noConversion"/>
  </si>
  <si>
    <t>zInt</t>
    <phoneticPr fontId="2" type="noConversion"/>
  </si>
  <si>
    <t>xInt</t>
    <phoneticPr fontId="2" type="noConversion"/>
  </si>
  <si>
    <t>名称</t>
  </si>
  <si>
    <t>展示用</t>
    <phoneticPr fontId="2" type="noConversion"/>
  </si>
  <si>
    <t>参数1</t>
    <phoneticPr fontId="2" type="noConversion"/>
  </si>
  <si>
    <t>参数2</t>
    <phoneticPr fontId="2" type="noConversion"/>
  </si>
  <si>
    <t>参数3</t>
    <phoneticPr fontId="2" type="noConversion"/>
  </si>
  <si>
    <t>参数4</t>
    <phoneticPr fontId="2" type="noConversion"/>
  </si>
  <si>
    <t>间隔时间</t>
    <phoneticPr fontId="2" type="noConversion"/>
  </si>
  <si>
    <t>参数组</t>
    <phoneticPr fontId="2" type="noConversion"/>
  </si>
  <si>
    <t>standardLockMedia</t>
    <phoneticPr fontId="2" type="noConversion"/>
  </si>
  <si>
    <t>Sector</t>
  </si>
  <si>
    <t>Enemy</t>
  </si>
  <si>
    <t>standardM1</t>
    <phoneticPr fontId="2" type="noConversion"/>
  </si>
  <si>
    <t>Melee</t>
  </si>
  <si>
    <t>standardM2</t>
    <phoneticPr fontId="2" type="noConversion"/>
  </si>
  <si>
    <t>standardM3</t>
    <phoneticPr fontId="2" type="noConversion"/>
  </si>
  <si>
    <t>standardRB</t>
    <phoneticPr fontId="2" type="noConversion"/>
  </si>
  <si>
    <t>SphereCast</t>
  </si>
  <si>
    <t>Range</t>
  </si>
  <si>
    <t>AllOther</t>
  </si>
  <si>
    <t>standardRP</t>
    <phoneticPr fontId="2" type="noConversion"/>
  </si>
  <si>
    <t>ColliderShape</t>
  </si>
  <si>
    <t>None</t>
  </si>
  <si>
    <t>Sphere</t>
  </si>
  <si>
    <t>Box</t>
  </si>
  <si>
    <t>xoffset正右负左</t>
    <phoneticPr fontId="2" type="noConversion"/>
  </si>
  <si>
    <t>zoffset前后</t>
    <phoneticPr fontId="2" type="noConversion"/>
  </si>
  <si>
    <t>半径</t>
    <phoneticPr fontId="2" type="noConversion"/>
  </si>
  <si>
    <t>x大小</t>
    <phoneticPr fontId="2" type="noConversion"/>
  </si>
  <si>
    <t>z大小</t>
    <phoneticPr fontId="2" type="noConversion"/>
  </si>
  <si>
    <t>角度</t>
    <phoneticPr fontId="2" type="noConversion"/>
  </si>
  <si>
    <t>半径小于0为射线</t>
  </si>
  <si>
    <t>MediaType</t>
  </si>
  <si>
    <t>Self</t>
  </si>
  <si>
    <t>Link</t>
  </si>
  <si>
    <t>TargetTypeTag</t>
  </si>
  <si>
    <t>OtherAlly</t>
  </si>
  <si>
    <t>Allies</t>
  </si>
  <si>
    <t>移动效果，只对SphereCast类有效</t>
    <phoneticPr fontId="2" type="noConversion"/>
  </si>
  <si>
    <t>hitMaxCountTotal</t>
    <phoneticPr fontId="2" type="noConversion"/>
  </si>
  <si>
    <t>hitMaxCountEach</t>
    <phoneticPr fontId="2" type="noConversion"/>
  </si>
  <si>
    <t>最大次数总数，0为无穷大</t>
    <phoneticPr fontId="2" type="noConversion"/>
  </si>
  <si>
    <t>每个目标最大判定次数</t>
    <phoneticPr fontId="2" type="noConversion"/>
  </si>
  <si>
    <t>targetStatusFilter</t>
    <phoneticPr fontId="2" type="noConversion"/>
  </si>
  <si>
    <t>targetBuffFilter</t>
    <phoneticPr fontId="2" type="noConversion"/>
  </si>
  <si>
    <t>BodyStatus</t>
  </si>
  <si>
    <t>BodyStatus</t>
    <phoneticPr fontId="2" type="noConversion"/>
  </si>
  <si>
    <t>Active</t>
  </si>
  <si>
    <t>Break</t>
  </si>
  <si>
    <t>Dead</t>
  </si>
  <si>
    <t>Alive</t>
  </si>
  <si>
    <t>Any</t>
  </si>
  <si>
    <t>BreakSearch</t>
    <phoneticPr fontId="2" type="noConversion"/>
  </si>
  <si>
    <t>0根据发射时间生成，只对MeleeRange有效</t>
    <phoneticPr fontId="2" type="noConversion"/>
  </si>
  <si>
    <t>无碰撞不需要参数，无碰撞为全局目标，不会过滤</t>
    <phoneticPr fontId="2" type="noConversion"/>
  </si>
  <si>
    <t>0</t>
    <phoneticPr fontId="2" type="noConversion"/>
  </si>
  <si>
    <t>1</t>
    <phoneticPr fontId="2" type="noConversion"/>
  </si>
  <si>
    <t>2</t>
  </si>
  <si>
    <t>3</t>
  </si>
  <si>
    <t>4</t>
  </si>
  <si>
    <t>5</t>
  </si>
  <si>
    <t>6</t>
  </si>
  <si>
    <t>攻击成功对被攻击者暂停毫秒</t>
    <phoneticPr fontId="2" type="noConversion"/>
  </si>
  <si>
    <t>攻击成功对子弹暂停毫秒</t>
  </si>
  <si>
    <t>攻击成功对双方暂停毫秒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</si>
</sst>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  <xf numFmtId="0" fontId="1" fillId="2" borderId="5" xfId="1" applyBorder="1">
      <alignment vertical="center"/>
    </xf>
    <xf numFmtId="0" fontId="3" fillId="0" borderId="0" xfId="0" applyFont="1" applyAlignment="1">
      <alignment horizontal="center" vertical="center"/>
    </xf>
    <xf numFmtId="0" fontId="1" fillId="2" borderId="0" xfId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3112D71-9835-484C-A05D-B7CF28216A99}" autoFormatId="16" applyNumberFormats="0" applyBorderFormats="0" applyFontFormats="0" applyPatternFormats="0" applyAlignmentFormats="0" applyWidthHeightFormats="0">
  <queryTableRefresh nextId="2">
    <queryTableFields count="1">
      <queryTableField id="1" name="TargetTypeTag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66B3383-058E-4EB7-A220-017F35DC08CD}" autoFormatId="16" applyNumberFormats="0" applyBorderFormats="0" applyFontFormats="0" applyPatternFormats="0" applyAlignmentFormats="0" applyWidthHeightFormats="0">
  <queryTableRefresh nextId="9" unboundColumnsRight="7">
    <queryTableFields count="8">
      <queryTableField id="1" name="MediaType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78BF05-676B-014F-A28C-7D5351EF0F9B}" autoFormatId="16" applyNumberFormats="0" applyBorderFormats="0" applyFontFormats="0" applyPatternFormats="0" applyAlignmentFormats="0" applyWidthHeightFormats="0">
  <queryTableRefresh nextId="32">
    <queryTableFields count="1">
      <queryTableField id="31" name="ColliderShape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7AA83E1-B7E5-4549-B807-3C00DA592673}" autoFormatId="16" applyNumberFormats="0" applyBorderFormats="0" applyFontFormats="0" applyPatternFormats="0" applyAlignmentFormats="0" applyWidthHeightFormats="0">
  <queryTableRefresh nextId="2">
    <queryTableFields count="1">
      <queryTableField id="1" name="BodyStatu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1621D6-F310-4880-9E61-ADEC236575EB}" name="Sheet1__3" displayName="Sheet1__3" ref="A1:A6" tableType="queryTable" totalsRowShown="0">
  <autoFilter ref="A1:A6" xr:uid="{881621D6-F310-4880-9E61-ADEC236575EB}"/>
  <tableColumns count="1">
    <tableColumn id="1" xr3:uid="{3B003014-6EF4-4205-A1F4-E238CE8FA32A}" uniqueName="1" name="TargetTypeTag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4DF221-7710-4835-B1C7-061670AAA7C2}" name="Sheet1__2" displayName="Sheet1__2" ref="A1:H7" tableType="queryTable" totalsRowShown="0">
  <autoFilter ref="A1:H7" xr:uid="{DD4DF221-7710-4835-B1C7-061670AAA7C2}"/>
  <tableColumns count="8">
    <tableColumn id="1" xr3:uid="{C02E4D85-2BEA-4B24-864F-2B13A17D8F0F}" uniqueName="1" name="MediaType" queryTableFieldId="1"/>
    <tableColumn id="2" xr3:uid="{20D8BA55-1982-DA4D-ADEC-3A318EBC94D8}" uniqueName="2" name="0" queryTableFieldId="2"/>
    <tableColumn id="3" xr3:uid="{C5E62A8F-3FD1-B44F-8BFF-FCD098ECE6E9}" uniqueName="3" name="1" queryTableFieldId="3"/>
    <tableColumn id="4" xr3:uid="{519628F1-A32E-5649-8A43-6DA804C68991}" uniqueName="4" name="2" queryTableFieldId="4"/>
    <tableColumn id="5" xr3:uid="{EDC01617-1975-084C-B169-6F292ED2225A}" uniqueName="5" name="3" queryTableFieldId="5"/>
    <tableColumn id="6" xr3:uid="{71FA64B2-1F6E-AF4F-B40C-12C78DC194FA}" uniqueName="6" name="4" queryTableFieldId="6"/>
    <tableColumn id="7" xr3:uid="{8F57907B-2A82-464C-800B-BA5F2A7493B9}" uniqueName="7" name="5" queryTableFieldId="7"/>
    <tableColumn id="8" xr3:uid="{C517B2B6-C034-1B47-B83E-7B47F0980F32}" uniqueName="8" name="6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0BD9A-DE58-B84F-AEED-5AF37791C432}" name="Sheet1" displayName="Sheet1" ref="A1:A6" tableType="queryTable" totalsRowShown="0">
  <autoFilter ref="A1:A6" xr:uid="{4ED0BD9A-DE58-B84F-AEED-5AF37791C432}"/>
  <tableColumns count="1">
    <tableColumn id="1" xr3:uid="{3090B38B-E20B-4178-B0CD-555658DAA93A}" uniqueName="1" name="ColliderShape" queryTableFieldId="3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1D9A8E-2B61-5641-B5CF-7A6BF2ADE69D}" name="Sheet1__4" displayName="Sheet1__4" ref="A1:A6" tableType="queryTable" totalsRowShown="0">
  <autoFilter ref="A1:A6" xr:uid="{E71D9A8E-2B61-5641-B5CF-7A6BF2ADE69D}"/>
  <tableColumns count="1">
    <tableColumn id="1" xr3:uid="{6B816D2C-41AE-894D-AC17-E44D615D0F55}" uniqueName="1" name="BodyStatus" queryTableField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952F8C-32DC-4F53-861D-06C240E5EA86}" name="ConfigTable" displayName="ConfigTable" ref="A1:B2" totalsRowShown="0">
  <autoFilter ref="A1:B2" xr:uid="{E4952F8C-32DC-4F53-861D-06C240E5EA86}"/>
  <tableColumns count="2">
    <tableColumn id="1" xr3:uid="{B2A2C066-A6F5-432B-8B8F-0AA3655D77C7}" name="参数名"/>
    <tableColumn id="2" xr3:uid="{06A18487-10AE-4680-9E5E-6E81FE90910F}" name="参数值">
      <calculatedColumnFormula array="1">LEFT(CELL("filename",$A$1),FIND("[",CELL("filename",$A$1))-1)&amp;"__enums__.xlsx"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"/>
  <sheetViews>
    <sheetView tabSelected="1" topLeftCell="K1" workbookViewId="0">
      <selection activeCell="Q25" sqref="Q25"/>
    </sheetView>
  </sheetViews>
  <sheetFormatPr defaultColWidth="9" defaultRowHeight="14.25" x14ac:dyDescent="0.2"/>
  <cols>
    <col min="2" max="2" width="29.125" customWidth="1"/>
    <col min="3" max="3" width="17" customWidth="1"/>
    <col min="4" max="4" width="12" customWidth="1"/>
    <col min="5" max="5" width="14.625" customWidth="1"/>
    <col min="6" max="6" width="12.375" customWidth="1"/>
    <col min="7" max="9" width="9.375" customWidth="1"/>
    <col min="10" max="14" width="11.875" customWidth="1"/>
    <col min="15" max="15" width="23.5" customWidth="1"/>
    <col min="16" max="16" width="10" customWidth="1"/>
    <col min="17" max="17" width="20.125" customWidth="1"/>
    <col min="18" max="18" width="18.125" customWidth="1"/>
    <col min="19" max="19" width="10.875" customWidth="1"/>
    <col min="20" max="21" width="15.625" customWidth="1"/>
    <col min="22" max="22" width="17" customWidth="1"/>
    <col min="23" max="24" width="23.5" customWidth="1"/>
    <col min="25" max="25" width="16" customWidth="1"/>
    <col min="26" max="26" width="12.375" customWidth="1"/>
    <col min="27" max="27" width="17" customWidth="1"/>
    <col min="28" max="28" width="11.875" customWidth="1"/>
    <col min="29" max="29" width="14.125" customWidth="1"/>
    <col min="30" max="30" width="16.875" customWidth="1"/>
  </cols>
  <sheetData>
    <row r="1" spans="1:30" s="1" customFormat="1" x14ac:dyDescent="0.2">
      <c r="A1" t="s">
        <v>0</v>
      </c>
      <c r="B1" t="s">
        <v>2</v>
      </c>
      <c r="C1" s="2" t="s">
        <v>7</v>
      </c>
      <c r="D1" s="2" t="s">
        <v>18</v>
      </c>
      <c r="E1" s="2" t="s">
        <v>19</v>
      </c>
      <c r="F1" s="2" t="s">
        <v>20</v>
      </c>
      <c r="G1" s="2"/>
      <c r="H1" s="2"/>
      <c r="I1" s="2"/>
      <c r="J1" s="6" t="s">
        <v>21</v>
      </c>
      <c r="K1" s="6"/>
      <c r="L1" s="6"/>
      <c r="M1" s="4"/>
      <c r="N1" s="2" t="s">
        <v>22</v>
      </c>
      <c r="O1" s="2" t="s">
        <v>76</v>
      </c>
      <c r="P1" s="2" t="s">
        <v>23</v>
      </c>
      <c r="Q1" s="2" t="s">
        <v>77</v>
      </c>
      <c r="R1" s="2" t="s">
        <v>24</v>
      </c>
      <c r="S1" s="2" t="s">
        <v>25</v>
      </c>
      <c r="T1" s="2" t="s">
        <v>26</v>
      </c>
      <c r="U1" s="2"/>
      <c r="V1" s="2" t="s">
        <v>27</v>
      </c>
      <c r="W1" s="2" t="s">
        <v>80</v>
      </c>
      <c r="X1" s="2" t="s">
        <v>81</v>
      </c>
      <c r="Y1" s="2" t="s">
        <v>28</v>
      </c>
      <c r="Z1" s="2"/>
      <c r="AA1" s="2"/>
      <c r="AB1" s="2"/>
      <c r="AC1" s="2"/>
      <c r="AD1" s="2"/>
    </row>
    <row r="2" spans="1:30" s="1" customFormat="1" x14ac:dyDescent="0.2">
      <c r="A2" t="s">
        <v>3</v>
      </c>
      <c r="B2" t="s">
        <v>4</v>
      </c>
      <c r="C2" t="s">
        <v>5</v>
      </c>
      <c r="D2" s="2" t="s">
        <v>29</v>
      </c>
      <c r="E2" s="2" t="s">
        <v>30</v>
      </c>
      <c r="F2" s="2" t="s">
        <v>9</v>
      </c>
      <c r="G2" s="2"/>
      <c r="H2" s="2"/>
      <c r="I2" s="2"/>
      <c r="J2" s="7" t="s">
        <v>31</v>
      </c>
      <c r="K2" s="8"/>
      <c r="L2" s="9"/>
      <c r="M2" s="4"/>
      <c r="N2" s="2" t="s">
        <v>32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33</v>
      </c>
      <c r="T2" s="2" t="s">
        <v>34</v>
      </c>
      <c r="U2" s="2"/>
      <c r="V2" s="2" t="s">
        <v>72</v>
      </c>
      <c r="W2" s="2" t="s">
        <v>83</v>
      </c>
      <c r="X2" s="2" t="s">
        <v>29</v>
      </c>
      <c r="Y2" s="2" t="s">
        <v>34</v>
      </c>
      <c r="Z2" s="2"/>
      <c r="AA2" s="2"/>
      <c r="AB2" s="2"/>
      <c r="AC2" s="2"/>
      <c r="AD2" s="2"/>
    </row>
    <row r="3" spans="1:30" s="1" customFormat="1" x14ac:dyDescent="0.2">
      <c r="A3" t="s">
        <v>0</v>
      </c>
      <c r="B3"/>
      <c r="C3" s="2"/>
      <c r="D3" s="2"/>
      <c r="E3" s="2"/>
      <c r="F3" s="2">
        <v>0</v>
      </c>
      <c r="G3" s="2">
        <v>1</v>
      </c>
      <c r="H3" s="2">
        <v>2</v>
      </c>
      <c r="I3" s="2">
        <v>3</v>
      </c>
      <c r="J3" s="3" t="s">
        <v>35</v>
      </c>
      <c r="K3" s="3" t="s">
        <v>36</v>
      </c>
      <c r="L3" s="3" t="s">
        <v>37</v>
      </c>
      <c r="M3" s="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AA3" s="2"/>
      <c r="AB3" s="2"/>
      <c r="AC3" s="2"/>
      <c r="AD3" s="2"/>
    </row>
    <row r="4" spans="1:30" s="1" customFormat="1" x14ac:dyDescent="0.2">
      <c r="A4"/>
      <c r="B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s="1" customFormat="1" x14ac:dyDescent="0.2">
      <c r="A5" t="s">
        <v>6</v>
      </c>
      <c r="B5"/>
      <c r="C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2">
      <c r="A6" t="s">
        <v>1</v>
      </c>
      <c r="B6" t="s">
        <v>2</v>
      </c>
      <c r="C6" t="s">
        <v>38</v>
      </c>
      <c r="D6" s="2" t="s">
        <v>39</v>
      </c>
      <c r="E6" s="2" t="s">
        <v>8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75</v>
      </c>
      <c r="K6" s="2"/>
      <c r="L6" s="2"/>
      <c r="M6" s="2"/>
      <c r="N6" s="2"/>
      <c r="O6" s="2" t="s">
        <v>78</v>
      </c>
      <c r="P6" s="2" t="s">
        <v>44</v>
      </c>
      <c r="Q6" s="2" t="s">
        <v>79</v>
      </c>
      <c r="R6" s="2" t="s">
        <v>90</v>
      </c>
      <c r="S6" s="2" t="s">
        <v>8</v>
      </c>
      <c r="T6" s="2" t="s">
        <v>45</v>
      </c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2">
      <c r="B7">
        <v>1</v>
      </c>
      <c r="C7" s="2" t="s">
        <v>46</v>
      </c>
      <c r="D7" s="2"/>
      <c r="E7" s="2" t="s">
        <v>47</v>
      </c>
      <c r="F7" s="2"/>
      <c r="G7" s="2"/>
      <c r="H7" s="2">
        <v>5000</v>
      </c>
      <c r="I7" s="2">
        <v>120</v>
      </c>
      <c r="J7" s="2"/>
      <c r="K7" s="2"/>
      <c r="L7" s="2"/>
      <c r="M7" s="2"/>
      <c r="N7" s="2"/>
      <c r="O7" s="2">
        <v>1</v>
      </c>
      <c r="P7" s="2">
        <v>1</v>
      </c>
      <c r="Q7" s="2">
        <v>1</v>
      </c>
      <c r="R7" s="2">
        <v>30000</v>
      </c>
      <c r="S7" s="2" t="s">
        <v>10</v>
      </c>
      <c r="T7" s="2"/>
      <c r="U7" s="2"/>
      <c r="V7" s="2" t="s">
        <v>48</v>
      </c>
      <c r="W7" s="2" t="s">
        <v>87</v>
      </c>
      <c r="X7" s="2"/>
      <c r="Y7" s="2" t="s">
        <v>11</v>
      </c>
      <c r="Z7" s="2"/>
      <c r="AA7" s="2"/>
      <c r="AB7" s="2"/>
      <c r="AC7" s="2"/>
      <c r="AD7" s="2"/>
    </row>
    <row r="8" spans="1:30" x14ac:dyDescent="0.2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2">
      <c r="B9">
        <v>2</v>
      </c>
      <c r="C9" s="2" t="s">
        <v>49</v>
      </c>
      <c r="D9" s="2"/>
      <c r="E9" s="2" t="s">
        <v>47</v>
      </c>
      <c r="F9" s="2"/>
      <c r="G9" s="2"/>
      <c r="H9" s="2">
        <v>3500</v>
      </c>
      <c r="I9" s="2">
        <v>120</v>
      </c>
      <c r="J9" s="2"/>
      <c r="K9" s="2"/>
      <c r="L9" s="2"/>
      <c r="M9" s="2"/>
      <c r="N9" s="2"/>
      <c r="O9" s="2">
        <v>0</v>
      </c>
      <c r="P9" s="2">
        <v>1</v>
      </c>
      <c r="Q9" s="2">
        <v>1</v>
      </c>
      <c r="R9" s="2"/>
      <c r="S9" s="2" t="s">
        <v>50</v>
      </c>
      <c r="T9" s="2">
        <v>350</v>
      </c>
      <c r="U9" s="2"/>
      <c r="V9" s="2" t="s">
        <v>48</v>
      </c>
      <c r="W9" s="2" t="s">
        <v>87</v>
      </c>
      <c r="X9" s="2"/>
      <c r="Y9" s="2" t="s">
        <v>13</v>
      </c>
      <c r="Z9" s="2"/>
      <c r="AA9" s="2"/>
      <c r="AB9" s="2"/>
      <c r="AC9" s="2"/>
      <c r="AD9" s="2"/>
    </row>
    <row r="10" spans="1:30" x14ac:dyDescent="0.2">
      <c r="B10">
        <v>3</v>
      </c>
      <c r="C10" s="2" t="s">
        <v>51</v>
      </c>
      <c r="D10" s="2"/>
      <c r="E10" s="2" t="s">
        <v>47</v>
      </c>
      <c r="F10" s="2"/>
      <c r="G10" s="2"/>
      <c r="H10" s="2">
        <v>4500</v>
      </c>
      <c r="I10" s="2">
        <v>120</v>
      </c>
      <c r="J10" s="2"/>
      <c r="K10" s="2"/>
      <c r="L10" s="2"/>
      <c r="M10" s="2"/>
      <c r="N10" s="2"/>
      <c r="O10" s="2">
        <v>0</v>
      </c>
      <c r="P10" s="2">
        <v>1</v>
      </c>
      <c r="Q10" s="2">
        <v>1</v>
      </c>
      <c r="R10" s="2"/>
      <c r="S10" s="2" t="s">
        <v>50</v>
      </c>
      <c r="T10" s="2">
        <v>300</v>
      </c>
      <c r="U10" s="2"/>
      <c r="V10" s="2" t="s">
        <v>48</v>
      </c>
      <c r="W10" s="2" t="s">
        <v>87</v>
      </c>
      <c r="X10" s="2"/>
      <c r="Y10" s="2" t="s">
        <v>13</v>
      </c>
      <c r="Z10" s="2"/>
      <c r="AA10" s="2"/>
      <c r="AB10" s="2"/>
      <c r="AC10" s="2"/>
      <c r="AD10" s="2"/>
    </row>
    <row r="11" spans="1:30" x14ac:dyDescent="0.2">
      <c r="B11">
        <v>4</v>
      </c>
      <c r="C11" s="2" t="s">
        <v>52</v>
      </c>
      <c r="D11" s="2"/>
      <c r="E11" s="2" t="s">
        <v>47</v>
      </c>
      <c r="F11" s="2"/>
      <c r="G11" s="2"/>
      <c r="H11" s="2">
        <v>4500</v>
      </c>
      <c r="I11" s="2">
        <v>120</v>
      </c>
      <c r="J11" s="2"/>
      <c r="K11" s="2"/>
      <c r="L11" s="2"/>
      <c r="M11" s="2"/>
      <c r="N11" s="2"/>
      <c r="O11" s="2">
        <v>0</v>
      </c>
      <c r="P11" s="2">
        <v>1</v>
      </c>
      <c r="Q11" s="2">
        <v>1</v>
      </c>
      <c r="R11" s="2"/>
      <c r="S11" s="2" t="s">
        <v>50</v>
      </c>
      <c r="T11" s="2">
        <v>300</v>
      </c>
      <c r="U11" s="2"/>
      <c r="V11" s="2" t="s">
        <v>48</v>
      </c>
      <c r="W11" s="2" t="s">
        <v>87</v>
      </c>
      <c r="X11" s="2"/>
      <c r="Y11" s="2" t="s">
        <v>13</v>
      </c>
      <c r="Z11" s="2"/>
      <c r="AA11" s="2"/>
      <c r="AB11" s="2"/>
      <c r="AC11" s="2"/>
      <c r="AD11" s="2"/>
    </row>
    <row r="12" spans="1:30" x14ac:dyDescent="0.2">
      <c r="B12">
        <v>5</v>
      </c>
      <c r="C12" s="2" t="s">
        <v>53</v>
      </c>
      <c r="D12" s="2"/>
      <c r="E12" s="2" t="s">
        <v>54</v>
      </c>
      <c r="F12" s="2"/>
      <c r="G12" s="2"/>
      <c r="H12" s="2">
        <v>200</v>
      </c>
      <c r="I12" s="2"/>
      <c r="J12" s="2">
        <v>0</v>
      </c>
      <c r="K12" s="2">
        <v>30000</v>
      </c>
      <c r="L12" s="2">
        <v>0</v>
      </c>
      <c r="M12" s="2"/>
      <c r="N12" s="2">
        <v>2000</v>
      </c>
      <c r="O12" s="2">
        <v>1</v>
      </c>
      <c r="P12" s="2">
        <v>1</v>
      </c>
      <c r="Q12" s="2">
        <v>1</v>
      </c>
      <c r="R12" s="2"/>
      <c r="S12" s="2" t="s">
        <v>55</v>
      </c>
      <c r="T12" s="2">
        <v>200</v>
      </c>
      <c r="U12" s="2"/>
      <c r="V12" s="2" t="s">
        <v>56</v>
      </c>
      <c r="W12" s="2" t="s">
        <v>87</v>
      </c>
      <c r="X12" s="2"/>
      <c r="Y12" s="2" t="s">
        <v>12</v>
      </c>
      <c r="Z12" s="2"/>
      <c r="AA12" s="2"/>
      <c r="AB12" s="2"/>
      <c r="AC12" s="2"/>
      <c r="AD12" s="2"/>
    </row>
    <row r="13" spans="1:30" x14ac:dyDescent="0.2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>
        <v>300</v>
      </c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2">
      <c r="B14">
        <v>6</v>
      </c>
      <c r="C14" s="2" t="s">
        <v>57</v>
      </c>
      <c r="D14" s="2"/>
      <c r="E14" s="2" t="s">
        <v>54</v>
      </c>
      <c r="F14" s="2"/>
      <c r="G14" s="2"/>
      <c r="H14" s="2">
        <v>200</v>
      </c>
      <c r="I14" s="2"/>
      <c r="J14" s="2">
        <v>0</v>
      </c>
      <c r="K14" s="2">
        <v>30000</v>
      </c>
      <c r="L14" s="2">
        <v>0</v>
      </c>
      <c r="M14" s="2"/>
      <c r="N14" s="2">
        <v>2000</v>
      </c>
      <c r="O14" s="2">
        <v>1</v>
      </c>
      <c r="P14" s="2">
        <v>1</v>
      </c>
      <c r="Q14" s="2">
        <v>1</v>
      </c>
      <c r="R14" s="2">
        <v>30000</v>
      </c>
      <c r="S14" s="2" t="s">
        <v>55</v>
      </c>
      <c r="T14" s="2">
        <v>300</v>
      </c>
      <c r="U14" s="2"/>
      <c r="V14" s="2" t="s">
        <v>48</v>
      </c>
      <c r="W14" s="2" t="s">
        <v>87</v>
      </c>
      <c r="X14" s="2"/>
      <c r="Y14" s="2" t="s">
        <v>12</v>
      </c>
      <c r="Z14" s="2"/>
      <c r="AA14" s="2"/>
      <c r="AB14" s="2"/>
      <c r="AC14" s="2"/>
      <c r="AD14" s="2"/>
    </row>
    <row r="15" spans="1:30" x14ac:dyDescent="0.2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>
        <v>400</v>
      </c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2">
      <c r="B16">
        <v>7</v>
      </c>
      <c r="C16" s="2" t="s">
        <v>89</v>
      </c>
      <c r="D16" s="2"/>
      <c r="E16" s="2" t="s">
        <v>60</v>
      </c>
      <c r="F16" s="2"/>
      <c r="G16" s="2"/>
      <c r="H16" s="2">
        <v>10000</v>
      </c>
      <c r="I16" s="2"/>
      <c r="J16" s="2"/>
      <c r="K16" s="2"/>
      <c r="L16" s="2"/>
      <c r="M16" s="2"/>
      <c r="N16" s="2"/>
      <c r="O16" s="2">
        <v>1</v>
      </c>
      <c r="P16" s="2">
        <v>1</v>
      </c>
      <c r="Q16" s="2">
        <v>1</v>
      </c>
      <c r="R16" s="2">
        <v>30000</v>
      </c>
      <c r="S16" s="2" t="s">
        <v>10</v>
      </c>
      <c r="T16" s="2"/>
      <c r="U16" s="2"/>
      <c r="V16" s="2" t="s">
        <v>48</v>
      </c>
      <c r="W16" s="2" t="s">
        <v>85</v>
      </c>
      <c r="X16" s="2"/>
      <c r="Y16" s="2" t="s">
        <v>11</v>
      </c>
      <c r="Z16" s="2"/>
      <c r="AA16" s="2"/>
      <c r="AB16" s="2"/>
      <c r="AC16" s="2"/>
      <c r="AD16" s="2"/>
    </row>
    <row r="17" spans="2:30" x14ac:dyDescent="0.2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2:30" x14ac:dyDescent="0.2">
      <c r="B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2:30" x14ac:dyDescent="0.2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2:30" x14ac:dyDescent="0.2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2:30" x14ac:dyDescent="0.2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2:30" x14ac:dyDescent="0.2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2:30" x14ac:dyDescent="0.2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</sheetData>
  <mergeCells count="2">
    <mergeCell ref="J1:L1"/>
    <mergeCell ref="J2:L2"/>
  </mergeCells>
  <phoneticPr fontId="2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92C7CE1-C305-4962-988F-86E42C7FD77A}">
          <x14:formula1>
            <xm:f>Shape!$A:$A</xm:f>
          </x14:formula1>
          <xm:sqref>E7:E16</xm:sqref>
        </x14:dataValidation>
        <x14:dataValidation type="list" allowBlank="1" showInputMessage="1" showErrorMessage="1" xr:uid="{B60FBA31-54CC-4D44-B2EF-5DFF7FFA3C00}">
          <x14:formula1>
            <xm:f>MediaType!$A:$A</xm:f>
          </x14:formula1>
          <xm:sqref>S7:S21</xm:sqref>
        </x14:dataValidation>
        <x14:dataValidation type="list" allowBlank="1" showInputMessage="1" showErrorMessage="1" xr:uid="{16DF67CD-9573-47EC-8282-E144DD0827B0}">
          <x14:formula1>
            <xm:f>TargetTypeTag!$A:$A</xm:f>
          </x14:formula1>
          <xm:sqref>V7:V18</xm:sqref>
        </x14:dataValidation>
        <x14:dataValidation type="list" allowBlank="1" showInputMessage="1" showErrorMessage="1" xr:uid="{7D93F0FC-85DC-2446-909C-13BA8D7EC012}">
          <x14:formula1>
            <xm:f>bodyStatus!$A:$A</xm:f>
          </x14:formula1>
          <xm:sqref>W7:W28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790E-8560-41CD-968B-39F4B6C418D2}">
  <dimension ref="A1:A6"/>
  <sheetViews>
    <sheetView workbookViewId="0">
      <selection activeCell="N29" sqref="N29"/>
    </sheetView>
  </sheetViews>
  <sheetFormatPr defaultColWidth="8.875" defaultRowHeight="14.25" x14ac:dyDescent="0.2"/>
  <cols>
    <col min="1" max="1" width="17.5" bestFit="1" customWidth="1"/>
  </cols>
  <sheetData>
    <row r="1" spans="1:1" x14ac:dyDescent="0.2">
      <c r="A1" t="s">
        <v>72</v>
      </c>
    </row>
    <row r="2" spans="1:1" x14ac:dyDescent="0.2">
      <c r="A2" t="s">
        <v>70</v>
      </c>
    </row>
    <row r="3" spans="1:1" x14ac:dyDescent="0.2">
      <c r="A3" t="s">
        <v>73</v>
      </c>
    </row>
    <row r="4" spans="1:1" x14ac:dyDescent="0.2">
      <c r="A4" t="s">
        <v>48</v>
      </c>
    </row>
    <row r="5" spans="1:1" x14ac:dyDescent="0.2">
      <c r="A5" t="s">
        <v>56</v>
      </c>
    </row>
    <row r="6" spans="1:1" x14ac:dyDescent="0.2">
      <c r="A6" t="s">
        <v>74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452A-FB0D-4B59-98EB-27A8EBFE98CD}">
  <dimension ref="A1:H7"/>
  <sheetViews>
    <sheetView workbookViewId="0">
      <selection activeCell="B6" sqref="B6"/>
    </sheetView>
  </sheetViews>
  <sheetFormatPr defaultColWidth="8.875" defaultRowHeight="14.25" x14ac:dyDescent="0.2"/>
  <cols>
    <col min="1" max="1" width="14" bestFit="1" customWidth="1"/>
    <col min="2" max="2" width="23.125" customWidth="1"/>
    <col min="3" max="3" width="21.375" customWidth="1"/>
  </cols>
  <sheetData>
    <row r="1" spans="1:8" x14ac:dyDescent="0.2">
      <c r="A1" t="s">
        <v>69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</row>
    <row r="2" spans="1:8" x14ac:dyDescent="0.2">
      <c r="A2" t="s">
        <v>17</v>
      </c>
    </row>
    <row r="3" spans="1:8" x14ac:dyDescent="0.2">
      <c r="A3" t="s">
        <v>70</v>
      </c>
    </row>
    <row r="4" spans="1:8" x14ac:dyDescent="0.2">
      <c r="A4" t="s">
        <v>71</v>
      </c>
    </row>
    <row r="5" spans="1:8" x14ac:dyDescent="0.2">
      <c r="A5" t="s">
        <v>50</v>
      </c>
      <c r="B5" s="2" t="s">
        <v>101</v>
      </c>
      <c r="C5" s="2"/>
    </row>
    <row r="6" spans="1:8" x14ac:dyDescent="0.2">
      <c r="A6" t="s">
        <v>55</v>
      </c>
      <c r="B6" s="2" t="s">
        <v>100</v>
      </c>
      <c r="C6" s="2" t="s">
        <v>99</v>
      </c>
    </row>
    <row r="7" spans="1:8" x14ac:dyDescent="0.2">
      <c r="A7" t="s">
        <v>10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7B9C-7E5A-674A-9D98-D22C72AA8EEE}">
  <dimension ref="A1:Y7"/>
  <sheetViews>
    <sheetView workbookViewId="0">
      <selection activeCell="B3" sqref="B3"/>
    </sheetView>
  </sheetViews>
  <sheetFormatPr defaultColWidth="11" defaultRowHeight="14.25" x14ac:dyDescent="0.2"/>
  <cols>
    <col min="1" max="1" width="16.5" bestFit="1" customWidth="1"/>
    <col min="2" max="3" width="15.5" bestFit="1" customWidth="1"/>
    <col min="4" max="4" width="12.625" customWidth="1"/>
    <col min="5" max="5" width="21" customWidth="1"/>
    <col min="6" max="6" width="14.125" bestFit="1" customWidth="1"/>
    <col min="7" max="7" width="8.125" bestFit="1" customWidth="1"/>
    <col min="8" max="8" width="10.875" bestFit="1" customWidth="1"/>
    <col min="9" max="9" width="6.375" bestFit="1" customWidth="1"/>
    <col min="10" max="10" width="15.5" bestFit="1" customWidth="1"/>
    <col min="11" max="11" width="10.5" bestFit="1" customWidth="1"/>
    <col min="12" max="12" width="14.375" bestFit="1" customWidth="1"/>
    <col min="13" max="14" width="11.5" bestFit="1" customWidth="1"/>
    <col min="15" max="17" width="12" bestFit="1" customWidth="1"/>
    <col min="18" max="18" width="16.375" bestFit="1" customWidth="1"/>
    <col min="19" max="19" width="12" bestFit="1" customWidth="1"/>
    <col min="20" max="20" width="15.375" bestFit="1" customWidth="1"/>
    <col min="21" max="22" width="13" bestFit="1" customWidth="1"/>
  </cols>
  <sheetData>
    <row r="1" spans="1:25" x14ac:dyDescent="0.2">
      <c r="A1" t="s">
        <v>58</v>
      </c>
      <c r="B1" s="2"/>
    </row>
    <row r="2" spans="1:25" x14ac:dyDescent="0.2">
      <c r="A2" t="s">
        <v>59</v>
      </c>
      <c r="B2" s="2" t="s">
        <v>91</v>
      </c>
    </row>
    <row r="3" spans="1:25" x14ac:dyDescent="0.2">
      <c r="A3" t="s">
        <v>60</v>
      </c>
      <c r="B3" s="2" t="s">
        <v>62</v>
      </c>
      <c r="C3" s="2" t="s">
        <v>63</v>
      </c>
      <c r="D3" s="2" t="s">
        <v>64</v>
      </c>
    </row>
    <row r="4" spans="1:25" x14ac:dyDescent="0.2">
      <c r="A4" t="s">
        <v>61</v>
      </c>
      <c r="B4" s="2" t="s">
        <v>62</v>
      </c>
      <c r="C4" s="2" t="s">
        <v>63</v>
      </c>
      <c r="D4" s="2" t="s">
        <v>65</v>
      </c>
      <c r="E4" s="2" t="s">
        <v>66</v>
      </c>
      <c r="F4" s="2"/>
    </row>
    <row r="5" spans="1:25" x14ac:dyDescent="0.2">
      <c r="A5" t="s">
        <v>47</v>
      </c>
      <c r="B5" s="2" t="s">
        <v>62</v>
      </c>
      <c r="C5" s="2" t="s">
        <v>63</v>
      </c>
      <c r="D5" s="2" t="s">
        <v>64</v>
      </c>
      <c r="E5" s="2" t="s">
        <v>67</v>
      </c>
      <c r="F5" s="2"/>
      <c r="G5" s="2"/>
      <c r="H5" s="2"/>
    </row>
    <row r="6" spans="1:25" x14ac:dyDescent="0.2">
      <c r="A6" t="s">
        <v>54</v>
      </c>
      <c r="B6" s="2" t="s">
        <v>62</v>
      </c>
      <c r="C6" s="2" t="s">
        <v>63</v>
      </c>
      <c r="D6" s="2" t="s">
        <v>68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">
      <c r="B7" s="2"/>
      <c r="C7" s="2"/>
      <c r="D7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C366-1CB0-E742-B39A-15376F3A19B0}">
  <dimension ref="A1:A6"/>
  <sheetViews>
    <sheetView workbookViewId="0">
      <selection activeCell="F34" sqref="F34"/>
    </sheetView>
  </sheetViews>
  <sheetFormatPr defaultColWidth="11" defaultRowHeight="14.25" x14ac:dyDescent="0.2"/>
  <cols>
    <col min="1" max="1" width="14.125" bestFit="1" customWidth="1"/>
  </cols>
  <sheetData>
    <row r="1" spans="1:1" x14ac:dyDescent="0.2">
      <c r="A1" t="s">
        <v>82</v>
      </c>
    </row>
    <row r="2" spans="1:1" x14ac:dyDescent="0.2">
      <c r="A2" t="s">
        <v>84</v>
      </c>
    </row>
    <row r="3" spans="1:1" x14ac:dyDescent="0.2">
      <c r="A3" t="s">
        <v>85</v>
      </c>
    </row>
    <row r="4" spans="1:1" x14ac:dyDescent="0.2">
      <c r="A4" t="s">
        <v>86</v>
      </c>
    </row>
    <row r="5" spans="1:1" x14ac:dyDescent="0.2">
      <c r="A5" t="s">
        <v>87</v>
      </c>
    </row>
    <row r="6" spans="1:1" x14ac:dyDescent="0.2">
      <c r="A6" t="s">
        <v>88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3A71-64E0-432B-AE69-EA17CFBC88F3}">
  <dimension ref="A1:B2"/>
  <sheetViews>
    <sheetView workbookViewId="0">
      <selection activeCell="D14" sqref="D14"/>
    </sheetView>
  </sheetViews>
  <sheetFormatPr defaultColWidth="8.875" defaultRowHeight="14.25" x14ac:dyDescent="0.2"/>
  <sheetData>
    <row r="1" spans="1:2" x14ac:dyDescent="0.2">
      <c r="A1" t="s">
        <v>15</v>
      </c>
      <c r="B1" t="s">
        <v>16</v>
      </c>
    </row>
    <row r="2" spans="1:2" x14ac:dyDescent="0.2">
      <c r="A2" t="s">
        <v>14</v>
      </c>
      <c r="B2" t="str" cm="1">
        <f t="array" aca="1" ref="B2" ca="1">LEFT(CELL("filename",$A$1),FIND("[",CELL("filename",$A$1))-1)&amp;"__enums__.xlsx"</f>
        <v>C:\workSpace\GameP\Tools\ExcelConfig\ExcelTables\__enums__.xlsx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3F0F06-A15A-1241-991E-2280C23226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TargetTypeTag</vt:lpstr>
      <vt:lpstr>MediaType</vt:lpstr>
      <vt:lpstr>Shape</vt:lpstr>
      <vt:lpstr>bodyStatus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 田</cp:lastModifiedBy>
  <dcterms:created xsi:type="dcterms:W3CDTF">2021-08-02T03:12:00Z</dcterms:created>
  <dcterms:modified xsi:type="dcterms:W3CDTF">2026-01-01T07:04:54Z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1033-12.2.0.13110</vt:lpwstr>
  </property>
</Properties>
</file>